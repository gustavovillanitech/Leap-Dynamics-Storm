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als" sheetId="2" state="visible" r:id="rId4"/>
  </sheets>
  <definedNames>
    <definedName function="false" hidden="true" localSheetId="1" name="_xlnm._FilterDatabase" vbProcedure="false">Deals!$A$1:$T$65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<sst xmlns="http://schemas.openxmlformats.org/spreadsheetml/2006/main" count="724" uniqueCount="227">
  <si>
    <t xml:space="preserve">Storm - Deal Escalator, Option &amp; Playoff Report</t>
  </si>
  <si>
    <t xml:space="preserve">Source: Dynamics 365 (Production) - one row per Deal - generated 2026-08-20</t>
  </si>
  <si>
    <t xml:space="preserve">Total deals</t>
  </si>
  <si>
    <t xml:space="preserve">Active (to complete)</t>
  </si>
  <si>
    <t xml:space="preserve">Lost (Closed Lost)</t>
  </si>
  <si>
    <t xml:space="preserve">Test / sample</t>
  </si>
  <si>
    <t xml:space="preserve">With escalator (Y)</t>
  </si>
  <si>
    <t xml:space="preserve">Missing escalator (N)</t>
  </si>
  <si>
    <t xml:space="preserve">No linked opportunity</t>
  </si>
  <si>
    <t xml:space="preserve">COLUMNS FOR ZACK TO COMPLETE (green headers on the Deals tab, current values shown - fill blanks / update):</t>
  </si>
  <si>
    <t xml:space="preserve">  Escalator %, Deal Option Status, Option Deadline, Deal Option Decision, Option Negotiation Window,</t>
  </si>
  <si>
    <t xml:space="preserve">  Deal Option Notes, Playoff Option Status, Playoff Option Deadline, Playoff Option Decision, Playoff Option Note.</t>
  </si>
  <si>
    <t xml:space="preserve">How to read this file:</t>
  </si>
  <si>
    <t xml:space="preserve">- Category : Active = work on these · Lost = Closed Lost (skip) · Test/Sample = junk (skip). Use the filter on this column.</t>
  </si>
  <si>
    <t xml:space="preserve">- Deal Status : the raw Dynamics status. Note most deals sit at '1 - Prospect Identified' because this field isn't actively maintained,</t>
  </si>
  <si>
    <t xml:space="preserve">   so it does NOT reliably separate real clients from prospects - use it as a reference, not a hard filter.</t>
  </si>
  <si>
    <t xml:space="preserve">- Escalator % : pulled from the parent Opportunity (new_escalator). Blank = none captured.</t>
  </si>
  <si>
    <t xml:space="preserve">- Has Escalator : Y = present · N = missing · NO LINKED OPPORTUNITY = deal not tied to an opportunity, escalator can't be resolved yet.</t>
  </si>
  <si>
    <t xml:space="preserve">- Please keep the column headings and their order unchanged so the data can be loaded back into Dynamics.</t>
  </si>
  <si>
    <t xml:space="preserve">Note: escalators live on the Opportunity; option/playoff fields live on the Deal. We can handle the upload back to Dynamics once complete.</t>
  </si>
  <si>
    <t xml:space="preserve">Deal Name</t>
  </si>
  <si>
    <t xml:space="preserve">Account</t>
  </si>
  <si>
    <t xml:space="preserve">Season</t>
  </si>
  <si>
    <t xml:space="preserve">Category</t>
  </si>
  <si>
    <t xml:space="preserve">Deal Status</t>
  </si>
  <si>
    <t xml:space="preserve">Deal Type</t>
  </si>
  <si>
    <t xml:space="preserve">Pitched Contract Length</t>
  </si>
  <si>
    <t xml:space="preserve">Linked Opportunity</t>
  </si>
  <si>
    <t xml:space="preserve">Deal Total</t>
  </si>
  <si>
    <t xml:space="preserve">Has Escalator</t>
  </si>
  <si>
    <t xml:space="preserve">Escalator %</t>
  </si>
  <si>
    <t xml:space="preserve">Deal Option Status</t>
  </si>
  <si>
    <t xml:space="preserve">Option Deadline</t>
  </si>
  <si>
    <t xml:space="preserve">Deal Option Decision</t>
  </si>
  <si>
    <t xml:space="preserve">Option Negotiation Window</t>
  </si>
  <si>
    <t xml:space="preserve">Deal Option Notes</t>
  </si>
  <si>
    <t xml:space="preserve">Playoff Option Status</t>
  </si>
  <si>
    <t xml:space="preserve">Playoff Option Deadline</t>
  </si>
  <si>
    <t xml:space="preserve">Playoff Option Decision</t>
  </si>
  <si>
    <t xml:space="preserve">Playoff Option Note</t>
  </si>
  <si>
    <t xml:space="preserve">13 Coins (SLB Marketing Consultants)</t>
  </si>
  <si>
    <t xml:space="preserve">Active</t>
  </si>
  <si>
    <t xml:space="preserve">1 - Prospect Identified</t>
  </si>
  <si>
    <t xml:space="preserve">New Business</t>
  </si>
  <si>
    <t xml:space="preserve">NO LINKED OPPORTUNITY</t>
  </si>
  <si>
    <t xml:space="preserve">Unknown</t>
  </si>
  <si>
    <t xml:space="preserve">No</t>
  </si>
  <si>
    <t xml:space="preserve">2026 - Storm</t>
  </si>
  <si>
    <t xml:space="preserve">6 - Verbal or Contracting - 90%</t>
  </si>
  <si>
    <t xml:space="preserve">Opt-Out</t>
  </si>
  <si>
    <t xml:space="preserve">2026-08-15</t>
  </si>
  <si>
    <t xml:space="preserve">Client Opted-Out</t>
  </si>
  <si>
    <t xml:space="preserve">not at deadline yet but had to put in something for "playoff option decision" in order to create this deal.</t>
  </si>
  <si>
    <t xml:space="preserve">Alaska Airlines - 2025</t>
  </si>
  <si>
    <t xml:space="preserve">Alaska Airlines</t>
  </si>
  <si>
    <t xml:space="preserve">2025</t>
  </si>
  <si>
    <t xml:space="preserve">Lost</t>
  </si>
  <si>
    <t xml:space="preserve">9 - Closed Lost</t>
  </si>
  <si>
    <t xml:space="preserve">2020 Recap Meeting</t>
  </si>
  <si>
    <t xml:space="preserve">N</t>
  </si>
  <si>
    <t xml:space="preserve">No Option</t>
  </si>
  <si>
    <t xml:space="preserve">2026-06-02</t>
  </si>
  <si>
    <t xml:space="preserve">Alaska Airlines - 2026</t>
  </si>
  <si>
    <t xml:space="preserve">Renewal</t>
  </si>
  <si>
    <t xml:space="preserve">Alaska Airlines-Current-2026 - Storm</t>
  </si>
  <si>
    <t xml:space="preserve">2026-08-01</t>
  </si>
  <si>
    <t xml:space="preserve">Client Opted-In</t>
  </si>
  <si>
    <t xml:space="preserve">Alexa - 2026 - Storm</t>
  </si>
  <si>
    <t xml:space="preserve">Alexa</t>
  </si>
  <si>
    <t xml:space="preserve">Out</t>
  </si>
  <si>
    <t xml:space="preserve">Amazon Alexa - 2026</t>
  </si>
  <si>
    <t xml:space="preserve">Storm Sponsor / Amazon Alexa</t>
  </si>
  <si>
    <t xml:space="preserve">Storm Sponsor / Amazon Alexa - 2026</t>
  </si>
  <si>
    <t xml:space="preserve">Amazon Community - 2026</t>
  </si>
  <si>
    <t xml:space="preserve">Amazon Community</t>
  </si>
  <si>
    <t xml:space="preserve">Storm Sponsor / Amazon Community - Community 2026 (OPT)</t>
  </si>
  <si>
    <t xml:space="preserve">Amazon CPA Partnership - 2026 - Storm</t>
  </si>
  <si>
    <t xml:space="preserve">Amazon CPA Partnership</t>
  </si>
  <si>
    <t xml:space="preserve">Amazon - CPA Naming Rights 2026</t>
  </si>
  <si>
    <t xml:space="preserve">Amazon Fashion - 2026 - Storm</t>
  </si>
  <si>
    <t xml:space="preserve">Amazon Fashion</t>
  </si>
  <si>
    <t xml:space="preserve">Amazon Fashion - 2026</t>
  </si>
  <si>
    <t xml:space="preserve">Y</t>
  </si>
  <si>
    <t xml:space="preserve">Opt-In</t>
  </si>
  <si>
    <t xml:space="preserve">Amazon Fashion - 2027 - Storm</t>
  </si>
  <si>
    <t xml:space="preserve">2027 - Storm</t>
  </si>
  <si>
    <t xml:space="preserve">Amazon Fashion - 2028 - Storm</t>
  </si>
  <si>
    <t xml:space="preserve">2028 - Storm</t>
  </si>
  <si>
    <t xml:space="preserve">Banking RFP</t>
  </si>
  <si>
    <t xml:space="preserve">Banking RFP - 2027</t>
  </si>
  <si>
    <t xml:space="preserve">BDA - 2026</t>
  </si>
  <si>
    <t xml:space="preserve">BDA</t>
  </si>
  <si>
    <t xml:space="preserve">BDA 2026-2027</t>
  </si>
  <si>
    <t xml:space="preserve">BDO - 2026 - Affiliate</t>
  </si>
  <si>
    <t xml:space="preserve">BDO</t>
  </si>
  <si>
    <t xml:space="preserve">BDO - 2026 - Practice Facility</t>
  </si>
  <si>
    <t xml:space="preserve">BECU - 2026</t>
  </si>
  <si>
    <t xml:space="preserve">BECU</t>
  </si>
  <si>
    <t xml:space="preserve">BECU - 2026 - Storm</t>
  </si>
  <si>
    <t xml:space="preserve">Boeing - 2026</t>
  </si>
  <si>
    <t xml:space="preserve">Boeing</t>
  </si>
  <si>
    <t xml:space="preserve">Boeing - 2026 - Storm</t>
  </si>
  <si>
    <t xml:space="preserve">In</t>
  </si>
  <si>
    <t xml:space="preserve">Carter Subaru 2026</t>
  </si>
  <si>
    <t xml:space="preserve">Carter Subaru</t>
  </si>
  <si>
    <t xml:space="preserve">Carter Subaru - 2026</t>
  </si>
  <si>
    <t xml:space="preserve">Coho Winery (sample)</t>
  </si>
  <si>
    <t xml:space="preserve">Test/Sample</t>
  </si>
  <si>
    <t xml:space="preserve">4 - Pitched - 50%</t>
  </si>
  <si>
    <t xml:space="preserve">Coho Winery (sample) - 2026</t>
  </si>
  <si>
    <t xml:space="preserve">Coho Winery (sample) - 2026 - Storm</t>
  </si>
  <si>
    <t xml:space="preserve">Deal Name: Suite Level A – Full Season</t>
  </si>
  <si>
    <t xml:space="preserve">Contoso Pharmaceuticals (sample)</t>
  </si>
  <si>
    <t xml:space="preserve">2026</t>
  </si>
  <si>
    <t xml:space="preserve">Contoso Pharmaceuticals (sample)-Prospect-2026</t>
  </si>
  <si>
    <t xml:space="preserve">Delta Dental - 2026</t>
  </si>
  <si>
    <t xml:space="preserve">Delta Dental</t>
  </si>
  <si>
    <t xml:space="preserve">Storm Sponsor / Delta Dental-Current-2026</t>
  </si>
  <si>
    <t xml:space="preserve">Era Living</t>
  </si>
  <si>
    <t xml:space="preserve">2 - Prospect is engaged</t>
  </si>
  <si>
    <t xml:space="preserve">Era Living - 2027</t>
  </si>
  <si>
    <t xml:space="preserve">Funko - 2026</t>
  </si>
  <si>
    <t xml:space="preserve">Funko</t>
  </si>
  <si>
    <t xml:space="preserve">Storm Sponsor / Funko - 2026 - Storm</t>
  </si>
  <si>
    <t xml:space="preserve">Intrepid - 2026</t>
  </si>
  <si>
    <t xml:space="preserve">Intrepid</t>
  </si>
  <si>
    <t xml:space="preserve">Kia Motors America, Inc. - 2026</t>
  </si>
  <si>
    <t xml:space="preserve">Kia Motors America, Inc.</t>
  </si>
  <si>
    <t xml:space="preserve">Kia Motors  - 2026</t>
  </si>
  <si>
    <t xml:space="preserve">KOMO 2026-2027</t>
  </si>
  <si>
    <t xml:space="preserve">KOMO</t>
  </si>
  <si>
    <t xml:space="preserve">KOMO - 2026 - Storm</t>
  </si>
  <si>
    <t xml:space="preserve">Leap Event Technology - 2026 - Storm</t>
  </si>
  <si>
    <t xml:space="preserve">Leap Event Technology</t>
  </si>
  <si>
    <t xml:space="preserve">Leap Event Technology - 2026</t>
  </si>
  <si>
    <t xml:space="preserve">Level Hotel - 2026</t>
  </si>
  <si>
    <t xml:space="preserve">Level Hotel</t>
  </si>
  <si>
    <t xml:space="preserve">Storm Sponsor / Level Hotel - 2026 - Storm</t>
  </si>
  <si>
    <t xml:space="preserve">Lucky Strike Entertainment - 2026 - Storm</t>
  </si>
  <si>
    <t xml:space="preserve">Lucky Strike Entertainment</t>
  </si>
  <si>
    <t xml:space="preserve">5 - Progressing - 75%</t>
  </si>
  <si>
    <t xml:space="preserve">Lucky Strike Entertainment - 2026</t>
  </si>
  <si>
    <t xml:space="preserve">LYFT - 2026</t>
  </si>
  <si>
    <t xml:space="preserve">LYFT</t>
  </si>
  <si>
    <t xml:space="preserve">LYFT - 2026 - Storm</t>
  </si>
  <si>
    <t xml:space="preserve">McDonald's ( Davis Elen ) - 2026</t>
  </si>
  <si>
    <t xml:space="preserve">McDonald's ( Davis Elen )</t>
  </si>
  <si>
    <t xml:space="preserve">2026-07-31</t>
  </si>
  <si>
    <t xml:space="preserve">NW LECET 2026</t>
  </si>
  <si>
    <t xml:space="preserve">NW LECET</t>
  </si>
  <si>
    <t xml:space="preserve">NW Lecet - 2026</t>
  </si>
  <si>
    <t xml:space="preserve">One Workplace - 2026 Affiliate</t>
  </si>
  <si>
    <t xml:space="preserve">One Workplace</t>
  </si>
  <si>
    <t xml:space="preserve">One Workplace - 2026</t>
  </si>
  <si>
    <t xml:space="preserve">Open Water - 2026 - Storm</t>
  </si>
  <si>
    <t xml:space="preserve">Open Water</t>
  </si>
  <si>
    <t xml:space="preserve">Open Water - 2026</t>
  </si>
  <si>
    <t xml:space="preserve">Pemco - 2026 - Storm</t>
  </si>
  <si>
    <t xml:space="preserve">Pemco</t>
  </si>
  <si>
    <t xml:space="preserve">Premera Blue Cross - 2026</t>
  </si>
  <si>
    <t xml:space="preserve">Premera Blue Cross</t>
  </si>
  <si>
    <t xml:space="preserve">Premera Blue Cross-Current-2026 - Storm</t>
  </si>
  <si>
    <t xml:space="preserve">Prime Electric - 2026 - Affiliate</t>
  </si>
  <si>
    <t xml:space="preserve">Prime Electric</t>
  </si>
  <si>
    <t xml:space="preserve">Prime Electric - 2026 - Practice Facility</t>
  </si>
  <si>
    <t xml:space="preserve">Progressive - 2026</t>
  </si>
  <si>
    <t xml:space="preserve">Progressive</t>
  </si>
  <si>
    <t xml:space="preserve">Progressive - 2026 - Storm</t>
  </si>
  <si>
    <t xml:space="preserve">Providence Swedish - 2026 - Storm</t>
  </si>
  <si>
    <t xml:space="preserve">Providence Swedish</t>
  </si>
  <si>
    <t xml:space="preserve">Providence Swedish - 2026</t>
  </si>
  <si>
    <t xml:space="preserve">Seattle Children's - 2026</t>
  </si>
  <si>
    <t xml:space="preserve">Seattle Children's</t>
  </si>
  <si>
    <t xml:space="preserve">Seattle Children's - 2026 - Storm</t>
  </si>
  <si>
    <t xml:space="preserve">SGB Law: 2026-2028</t>
  </si>
  <si>
    <t xml:space="preserve">Schroeter Goldmark &amp; Bender (SGB Law)</t>
  </si>
  <si>
    <t xml:space="preserve">Schroeter Goldmark &amp; Bender (SGB Law)-Prospect-2026</t>
  </si>
  <si>
    <t xml:space="preserve">Snoqualmie Casino - 2026</t>
  </si>
  <si>
    <t xml:space="preserve">Snoqualmie Casino</t>
  </si>
  <si>
    <t xml:space="preserve">Snoqualmie Casino 2026</t>
  </si>
  <si>
    <t xml:space="preserve">2027-12-01</t>
  </si>
  <si>
    <t xml:space="preserve">Sound Transit - 2026</t>
  </si>
  <si>
    <t xml:space="preserve">Sound Transit</t>
  </si>
  <si>
    <t xml:space="preserve">Sound Transit-Current-2026 - Storm</t>
  </si>
  <si>
    <t xml:space="preserve">Southwest Plumbing - 2026</t>
  </si>
  <si>
    <t xml:space="preserve">Southwest Plumbing</t>
  </si>
  <si>
    <t xml:space="preserve">Southwest Plumbing 2025-2027</t>
  </si>
  <si>
    <t xml:space="preserve">Special Olympics Washington 2026</t>
  </si>
  <si>
    <t xml:space="preserve">Special Olympics Washington</t>
  </si>
  <si>
    <t xml:space="preserve">Special Olympics Washington 2026-2027</t>
  </si>
  <si>
    <t xml:space="preserve">Starbucks - 2026</t>
  </si>
  <si>
    <t xml:space="preserve">Starbucks</t>
  </si>
  <si>
    <t xml:space="preserve">Starbucks - 2026 - Storm Upsell</t>
  </si>
  <si>
    <t xml:space="preserve">Upsell</t>
  </si>
  <si>
    <t xml:space="preserve">Yes</t>
  </si>
  <si>
    <t xml:space="preserve">Original agreement: Negotiation period commences no later than August 30, 2028 for a period of 120 days. Must meet no less than two times to discuss.</t>
  </si>
  <si>
    <t xml:space="preserve">State Street Investment Management</t>
  </si>
  <si>
    <t xml:space="preserve">State Street Investment Management - 2026</t>
  </si>
  <si>
    <t xml:space="preserve">Storm Sponsor / Amazon Groups - CPA Naming Rights 2026</t>
  </si>
  <si>
    <t xml:space="preserve">Storm Sponsor / Delta Dental - 2026 - Storm</t>
  </si>
  <si>
    <t xml:space="preserve">Storm Sponsor / Supergraphics - 2026 - Storm</t>
  </si>
  <si>
    <t xml:space="preserve">Storm Sponsor / Supergraphics</t>
  </si>
  <si>
    <t xml:space="preserve">Supergraphics - 2026 - Affiliate</t>
  </si>
  <si>
    <t xml:space="preserve">Supergraphics</t>
  </si>
  <si>
    <t xml:space="preserve">Supergraphics-Current-2026 - Practice Facility</t>
  </si>
  <si>
    <t xml:space="preserve">Symetra - 2026 - Storm</t>
  </si>
  <si>
    <t xml:space="preserve">Symetra</t>
  </si>
  <si>
    <t xml:space="preserve">Symetra - 2026</t>
  </si>
  <si>
    <t xml:space="preserve">Test</t>
  </si>
  <si>
    <t xml:space="preserve">Test - 2026 - Storm</t>
  </si>
  <si>
    <t xml:space="preserve">TEST</t>
  </si>
  <si>
    <t xml:space="preserve">Coho Winery (sample)-Current-2026</t>
  </si>
  <si>
    <t xml:space="preserve">The Advocates - 2026</t>
  </si>
  <si>
    <t xml:space="preserve">The Advocates</t>
  </si>
  <si>
    <t xml:space="preserve">U.S. Bank - 2026 - Storm</t>
  </si>
  <si>
    <t xml:space="preserve">U.S. Bank</t>
  </si>
  <si>
    <t xml:space="preserve">US Bank 2026</t>
  </si>
  <si>
    <t xml:space="preserve">WaFd Bank - 2026</t>
  </si>
  <si>
    <t xml:space="preserve">WaFd Bank</t>
  </si>
  <si>
    <t xml:space="preserve">Storm Sponsor / WAFD - 2026 - Storm</t>
  </si>
  <si>
    <t xml:space="preserve">Washington's Lottery - 2026</t>
  </si>
  <si>
    <t xml:space="preserve">Washington's Lottery</t>
  </si>
  <si>
    <t xml:space="preserve">Washington's Lottery Test</t>
  </si>
  <si>
    <t xml:space="preserve">Xfinity - 2026</t>
  </si>
  <si>
    <t xml:space="preserve">Xfinity</t>
  </si>
  <si>
    <t xml:space="preserve">ZenTechWorks Affiliate 2026</t>
  </si>
  <si>
    <t xml:space="preserve">ZenTechWorks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</si>
</sst>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EAF3E0"/>
      </patternFill>
    </fill>
    <fill>
      <patternFill patternType="solid">
        <fgColor rgb="FFEAF3E0"/>
        <bgColor rgb="FFE2EFDA"/>
      </patternFill>
    </fill>
    <fill>
      <patternFill patternType="solid">
        <fgColor rgb="FFFCE4E4"/>
        <bgColor rgb="FFEDEDED"/>
      </patternFill>
    </fill>
    <fill>
      <patternFill patternType="solid">
        <fgColor rgb="FFEDEDED"/>
        <bgColor rgb="FFEA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EAF3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EAF3E0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COUNTA(Deals!A2:A65)</f>
        <v>64</v>
      </c>
    </row>
    <row r="5" customFormat="false" ht="15" hidden="false" customHeight="false" outlineLevel="0" collapsed="false">
      <c r="A5" s="5" t="s">
        <v>3</v>
      </c>
      <c r="B5" s="4" t="n">
        <f aca="false">COUNTIF(Deals!D2:D65,"Active")</f>
        <v>50</v>
      </c>
    </row>
    <row r="6" customFormat="false" ht="15" hidden="false" customHeight="false" outlineLevel="0" collapsed="false">
      <c r="A6" s="5" t="s">
        <v>4</v>
      </c>
      <c r="B6" s="4" t="n">
        <f aca="false">COUNTIF(Deals!D2:D65,"Lost")</f>
        <v>8</v>
      </c>
    </row>
    <row r="7" customFormat="false" ht="15" hidden="false" customHeight="false" outlineLevel="0" collapsed="false">
      <c r="A7" s="5" t="s">
        <v>5</v>
      </c>
      <c r="B7" s="4" t="n">
        <f aca="false">COUNTIF(Deals!D2:D65,"Test/Sample")</f>
        <v>6</v>
      </c>
    </row>
    <row r="8" customFormat="false" ht="15" hidden="false" customHeight="false" outlineLevel="0" collapsed="false">
      <c r="A8" s="5" t="s">
        <v>6</v>
      </c>
      <c r="B8" s="4" t="n">
        <f aca="false">COUNTIF(Deals!J2:J65,"Y")</f>
        <v>2</v>
      </c>
    </row>
    <row r="9" customFormat="false" ht="15" hidden="false" customHeight="false" outlineLevel="0" collapsed="false">
      <c r="A9" s="5" t="s">
        <v>7</v>
      </c>
      <c r="B9" s="4" t="n">
        <f aca="false">COUNTIF(Deals!J2:J65,"N")</f>
        <v>55</v>
      </c>
    </row>
    <row r="10" customFormat="false" ht="15" hidden="false" customHeight="false" outlineLevel="0" collapsed="false">
      <c r="A10" s="5" t="s">
        <v>8</v>
      </c>
      <c r="B10" s="4" t="n">
        <f aca="false">COUNTIF(Deals!J2:J65,"NO LINKED OPPORTUNITY")</f>
        <v>7</v>
      </c>
    </row>
    <row r="12" customFormat="false" ht="15" hidden="false" customHeight="false" outlineLevel="0" collapsed="false">
      <c r="A12" s="6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6" t="s">
        <v>10</v>
      </c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6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6" t="s">
        <v>13</v>
      </c>
    </row>
    <row r="19" customFormat="false" ht="15" hidden="false" customHeight="false" outlineLevel="0" collapsed="false">
      <c r="A19" s="6" t="s">
        <v>14</v>
      </c>
    </row>
    <row r="20" customFormat="false" ht="15" hidden="false" customHeight="false" outlineLevel="0" collapsed="false">
      <c r="A20" s="6" t="s">
        <v>15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6" t="s">
        <v>17</v>
      </c>
    </row>
    <row r="23" customFormat="false" ht="15" hidden="false" customHeight="false" outlineLevel="0" collapsed="false">
      <c r="A23" s="6" t="s">
        <v>18</v>
      </c>
    </row>
    <row r="24" customFormat="false" ht="15" hidden="false" customHeight="false" outlineLevel="0" collapsed="false">
      <c r="A24" s="6"/>
    </row>
    <row r="25" customFormat="false" ht="15" hidden="false" customHeight="false" outlineLevel="0" collapsed="false">
      <c r="A25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5" min="14" style="0" width="16"/>
    <col collapsed="false" customWidth="true" hidden="false" outlineLevel="0" max="16" min="16" style="0" width="30"/>
    <col collapsed="false" customWidth="true" hidden="false" outlineLevel="0" max="18" min="17" style="0" width="14"/>
    <col collapsed="false" customWidth="true" hidden="false" outlineLevel="0" max="19" min="19" style="0" width="16"/>
    <col collapsed="false" customWidth="true" hidden="false" outlineLevel="0" max="20" min="20" style="0" width="30"/>
  </cols>
  <sheetData>
    <row r="1" customFormat="false" ht="30" hidden="false" customHeight="true" outlineLevel="0" collapsed="false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customFormat="false" ht="15" hidden="false" customHeight="false" outlineLevel="0" collapsed="false">
      <c r="A2" s="9" t="s">
        <v>40</v>
      </c>
      <c r="B2" s="9" t="s">
        <v>40</v>
      </c>
      <c r="C2" s="9"/>
      <c r="D2" s="10" t="s">
        <v>41</v>
      </c>
      <c r="E2" s="9" t="s">
        <v>42</v>
      </c>
      <c r="F2" s="9" t="s">
        <v>43</v>
      </c>
      <c r="G2" s="9"/>
      <c r="H2" s="9"/>
      <c r="I2" s="11" t="n">
        <v>22411</v>
      </c>
      <c r="J2" s="12" t="s">
        <v>44</v>
      </c>
      <c r="K2" s="13"/>
      <c r="L2" s="14" t="s">
        <v>45</v>
      </c>
      <c r="M2" s="14"/>
      <c r="N2" s="14"/>
      <c r="O2" s="14" t="s">
        <v>46</v>
      </c>
      <c r="P2" s="15"/>
      <c r="Q2" s="14" t="s">
        <v>45</v>
      </c>
      <c r="R2" s="14"/>
      <c r="S2" s="14"/>
      <c r="T2" s="15"/>
    </row>
    <row r="3" customFormat="false" ht="35.05" hidden="false" customHeight="false" outlineLevel="0" collapsed="false">
      <c r="A3" s="9" t="s">
        <v>47</v>
      </c>
      <c r="B3" s="9"/>
      <c r="C3" s="9" t="s">
        <v>47</v>
      </c>
      <c r="D3" s="10" t="s">
        <v>41</v>
      </c>
      <c r="E3" s="9" t="s">
        <v>48</v>
      </c>
      <c r="F3" s="9" t="s">
        <v>43</v>
      </c>
      <c r="G3" s="9"/>
      <c r="H3" s="9"/>
      <c r="I3" s="11"/>
      <c r="J3" s="12" t="s">
        <v>44</v>
      </c>
      <c r="K3" s="13"/>
      <c r="L3" s="14" t="s">
        <v>45</v>
      </c>
      <c r="M3" s="14"/>
      <c r="N3" s="14"/>
      <c r="O3" s="14" t="s">
        <v>46</v>
      </c>
      <c r="P3" s="15"/>
      <c r="Q3" s="14" t="s">
        <v>49</v>
      </c>
      <c r="R3" s="14" t="s">
        <v>50</v>
      </c>
      <c r="S3" s="14" t="s">
        <v>51</v>
      </c>
      <c r="T3" s="15" t="s">
        <v>52</v>
      </c>
    </row>
    <row r="4" customFormat="false" ht="15" hidden="false" customHeight="false" outlineLevel="0" collapsed="false">
      <c r="A4" s="9" t="s">
        <v>53</v>
      </c>
      <c r="B4" s="9" t="s">
        <v>54</v>
      </c>
      <c r="C4" s="9" t="s">
        <v>55</v>
      </c>
      <c r="D4" s="16" t="s">
        <v>56</v>
      </c>
      <c r="E4" s="9" t="s">
        <v>57</v>
      </c>
      <c r="F4" s="9"/>
      <c r="G4" s="9"/>
      <c r="H4" s="9" t="s">
        <v>58</v>
      </c>
      <c r="I4" s="11" t="n">
        <v>0</v>
      </c>
      <c r="J4" s="17" t="s">
        <v>59</v>
      </c>
      <c r="K4" s="13"/>
      <c r="L4" s="14" t="s">
        <v>60</v>
      </c>
      <c r="M4" s="14" t="s">
        <v>61</v>
      </c>
      <c r="N4" s="14" t="s">
        <v>51</v>
      </c>
      <c r="O4" s="14"/>
      <c r="P4" s="15"/>
      <c r="Q4" s="14" t="s">
        <v>49</v>
      </c>
      <c r="R4" s="14" t="s">
        <v>61</v>
      </c>
      <c r="S4" s="14" t="s">
        <v>51</v>
      </c>
      <c r="T4" s="15"/>
    </row>
    <row r="5" customFormat="false" ht="15" hidden="false" customHeight="false" outlineLevel="0" collapsed="false">
      <c r="A5" s="9" t="s">
        <v>62</v>
      </c>
      <c r="B5" s="9" t="s">
        <v>54</v>
      </c>
      <c r="C5" s="9" t="s">
        <v>47</v>
      </c>
      <c r="D5" s="10" t="s">
        <v>41</v>
      </c>
      <c r="E5" s="9" t="s">
        <v>42</v>
      </c>
      <c r="F5" s="9" t="s">
        <v>63</v>
      </c>
      <c r="G5" s="9"/>
      <c r="H5" s="9" t="s">
        <v>64</v>
      </c>
      <c r="I5" s="11" t="n">
        <v>226950</v>
      </c>
      <c r="J5" s="17" t="s">
        <v>59</v>
      </c>
      <c r="K5" s="13"/>
      <c r="L5" s="14" t="s">
        <v>45</v>
      </c>
      <c r="M5" s="14"/>
      <c r="N5" s="14"/>
      <c r="O5" s="14"/>
      <c r="P5" s="15"/>
      <c r="Q5" s="14" t="s">
        <v>45</v>
      </c>
      <c r="R5" s="14" t="s">
        <v>65</v>
      </c>
      <c r="S5" s="14" t="s">
        <v>66</v>
      </c>
      <c r="T5" s="15"/>
    </row>
    <row r="6" customFormat="false" ht="15" hidden="false" customHeight="false" outlineLevel="0" collapsed="false">
      <c r="A6" s="9" t="s">
        <v>67</v>
      </c>
      <c r="B6" s="9" t="s">
        <v>68</v>
      </c>
      <c r="C6" s="9" t="s">
        <v>47</v>
      </c>
      <c r="D6" s="10" t="s">
        <v>41</v>
      </c>
      <c r="E6" s="9" t="s">
        <v>42</v>
      </c>
      <c r="F6" s="9"/>
      <c r="G6" s="9" t="n">
        <v>1</v>
      </c>
      <c r="H6" s="9" t="s">
        <v>67</v>
      </c>
      <c r="I6" s="11" t="n">
        <v>300000</v>
      </c>
      <c r="J6" s="17" t="s">
        <v>59</v>
      </c>
      <c r="K6" s="13"/>
      <c r="L6" s="14" t="s">
        <v>60</v>
      </c>
      <c r="M6" s="14"/>
      <c r="N6" s="14"/>
      <c r="O6" s="14" t="s">
        <v>46</v>
      </c>
      <c r="P6" s="15"/>
      <c r="Q6" s="14" t="s">
        <v>69</v>
      </c>
      <c r="R6" s="14"/>
      <c r="S6" s="14"/>
      <c r="T6" s="15"/>
    </row>
    <row r="7" customFormat="false" ht="15" hidden="false" customHeight="false" outlineLevel="0" collapsed="false">
      <c r="A7" s="9" t="s">
        <v>70</v>
      </c>
      <c r="B7" s="9" t="s">
        <v>71</v>
      </c>
      <c r="C7" s="9" t="s">
        <v>47</v>
      </c>
      <c r="D7" s="10" t="s">
        <v>41</v>
      </c>
      <c r="E7" s="9" t="s">
        <v>48</v>
      </c>
      <c r="F7" s="9" t="s">
        <v>43</v>
      </c>
      <c r="G7" s="9" t="n">
        <v>3</v>
      </c>
      <c r="H7" s="9" t="s">
        <v>72</v>
      </c>
      <c r="I7" s="11" t="n">
        <v>300000</v>
      </c>
      <c r="J7" s="17" t="s">
        <v>59</v>
      </c>
      <c r="K7" s="13"/>
      <c r="L7" s="14" t="s">
        <v>45</v>
      </c>
      <c r="M7" s="14"/>
      <c r="N7" s="14"/>
      <c r="O7" s="14" t="s">
        <v>46</v>
      </c>
      <c r="P7" s="15"/>
      <c r="Q7" s="14" t="s">
        <v>45</v>
      </c>
      <c r="R7" s="14"/>
      <c r="S7" s="14"/>
      <c r="T7" s="15"/>
    </row>
    <row r="8" customFormat="false" ht="15" hidden="false" customHeight="false" outlineLevel="0" collapsed="false">
      <c r="A8" s="9" t="s">
        <v>73</v>
      </c>
      <c r="B8" s="9" t="s">
        <v>74</v>
      </c>
      <c r="C8" s="9" t="s">
        <v>47</v>
      </c>
      <c r="D8" s="10" t="s">
        <v>41</v>
      </c>
      <c r="E8" s="9" t="s">
        <v>42</v>
      </c>
      <c r="F8" s="9" t="s">
        <v>63</v>
      </c>
      <c r="G8" s="9"/>
      <c r="H8" s="9" t="s">
        <v>75</v>
      </c>
      <c r="I8" s="11" t="n">
        <v>131250</v>
      </c>
      <c r="J8" s="17" t="s">
        <v>59</v>
      </c>
      <c r="K8" s="13"/>
      <c r="L8" s="14" t="s">
        <v>45</v>
      </c>
      <c r="M8" s="14"/>
      <c r="N8" s="14"/>
      <c r="O8" s="14"/>
      <c r="P8" s="15"/>
      <c r="Q8" s="14" t="s">
        <v>69</v>
      </c>
      <c r="R8" s="14"/>
      <c r="S8" s="14"/>
      <c r="T8" s="15"/>
    </row>
    <row r="9" customFormat="false" ht="15" hidden="false" customHeight="false" outlineLevel="0" collapsed="false">
      <c r="A9" s="9" t="s">
        <v>76</v>
      </c>
      <c r="B9" s="9" t="s">
        <v>77</v>
      </c>
      <c r="C9" s="9" t="s">
        <v>47</v>
      </c>
      <c r="D9" s="10" t="s">
        <v>41</v>
      </c>
      <c r="E9" s="9" t="s">
        <v>42</v>
      </c>
      <c r="F9" s="9" t="s">
        <v>63</v>
      </c>
      <c r="G9" s="9"/>
      <c r="H9" s="9" t="s">
        <v>78</v>
      </c>
      <c r="I9" s="11" t="n">
        <v>125000</v>
      </c>
      <c r="J9" s="17" t="s">
        <v>59</v>
      </c>
      <c r="K9" s="13"/>
      <c r="L9" s="14" t="s">
        <v>60</v>
      </c>
      <c r="M9" s="14"/>
      <c r="N9" s="14"/>
      <c r="O9" s="14" t="s">
        <v>46</v>
      </c>
      <c r="P9" s="15"/>
      <c r="Q9" s="14" t="s">
        <v>49</v>
      </c>
      <c r="R9" s="14" t="s">
        <v>65</v>
      </c>
      <c r="S9" s="14" t="s">
        <v>51</v>
      </c>
      <c r="T9" s="15"/>
    </row>
    <row r="10" customFormat="false" ht="15" hidden="false" customHeight="false" outlineLevel="0" collapsed="false">
      <c r="A10" s="9" t="s">
        <v>79</v>
      </c>
      <c r="B10" s="9" t="s">
        <v>80</v>
      </c>
      <c r="C10" s="9" t="s">
        <v>47</v>
      </c>
      <c r="D10" s="10" t="s">
        <v>41</v>
      </c>
      <c r="E10" s="9" t="s">
        <v>42</v>
      </c>
      <c r="F10" s="9" t="s">
        <v>43</v>
      </c>
      <c r="G10" s="9" t="n">
        <v>3</v>
      </c>
      <c r="H10" s="9" t="s">
        <v>81</v>
      </c>
      <c r="I10" s="11" t="n">
        <v>31500</v>
      </c>
      <c r="J10" s="18" t="s">
        <v>82</v>
      </c>
      <c r="K10" s="13" t="n">
        <v>5</v>
      </c>
      <c r="L10" s="14" t="s">
        <v>83</v>
      </c>
      <c r="M10" s="14" t="s">
        <v>65</v>
      </c>
      <c r="N10" s="14" t="s">
        <v>66</v>
      </c>
      <c r="O10" s="14" t="s">
        <v>46</v>
      </c>
      <c r="P10" s="15"/>
      <c r="Q10" s="14" t="s">
        <v>49</v>
      </c>
      <c r="R10" s="14" t="s">
        <v>65</v>
      </c>
      <c r="S10" s="14" t="s">
        <v>51</v>
      </c>
      <c r="T10" s="15"/>
    </row>
    <row r="11" customFormat="false" ht="15" hidden="false" customHeight="false" outlineLevel="0" collapsed="false">
      <c r="A11" s="9" t="s">
        <v>84</v>
      </c>
      <c r="B11" s="9" t="s">
        <v>80</v>
      </c>
      <c r="C11" s="9" t="s">
        <v>85</v>
      </c>
      <c r="D11" s="10" t="s">
        <v>41</v>
      </c>
      <c r="E11" s="9" t="s">
        <v>42</v>
      </c>
      <c r="F11" s="9" t="s">
        <v>43</v>
      </c>
      <c r="G11" s="9"/>
      <c r="H11" s="9"/>
      <c r="I11" s="11" t="n">
        <v>33075</v>
      </c>
      <c r="J11" s="12" t="s">
        <v>44</v>
      </c>
      <c r="K11" s="13"/>
      <c r="L11" s="14" t="s">
        <v>45</v>
      </c>
      <c r="M11" s="14"/>
      <c r="N11" s="14"/>
      <c r="O11" s="14" t="s">
        <v>46</v>
      </c>
      <c r="P11" s="15"/>
      <c r="Q11" s="14" t="s">
        <v>45</v>
      </c>
      <c r="R11" s="14"/>
      <c r="S11" s="14"/>
      <c r="T11" s="15"/>
    </row>
    <row r="12" customFormat="false" ht="15" hidden="false" customHeight="false" outlineLevel="0" collapsed="false">
      <c r="A12" s="9" t="s">
        <v>86</v>
      </c>
      <c r="B12" s="9" t="s">
        <v>80</v>
      </c>
      <c r="C12" s="9" t="s">
        <v>87</v>
      </c>
      <c r="D12" s="10" t="s">
        <v>41</v>
      </c>
      <c r="E12" s="9" t="s">
        <v>42</v>
      </c>
      <c r="F12" s="9" t="s">
        <v>43</v>
      </c>
      <c r="G12" s="9"/>
      <c r="H12" s="9"/>
      <c r="I12" s="11" t="n">
        <v>34727</v>
      </c>
      <c r="J12" s="12" t="s">
        <v>44</v>
      </c>
      <c r="K12" s="13"/>
      <c r="L12" s="14" t="s">
        <v>45</v>
      </c>
      <c r="M12" s="14"/>
      <c r="N12" s="14"/>
      <c r="O12" s="14" t="s">
        <v>46</v>
      </c>
      <c r="P12" s="15"/>
      <c r="Q12" s="14" t="s">
        <v>45</v>
      </c>
      <c r="R12" s="14"/>
      <c r="S12" s="14"/>
      <c r="T12" s="15"/>
    </row>
    <row r="13" customFormat="false" ht="15" hidden="false" customHeight="false" outlineLevel="0" collapsed="false">
      <c r="A13" s="9" t="s">
        <v>88</v>
      </c>
      <c r="B13" s="9" t="s">
        <v>88</v>
      </c>
      <c r="C13" s="9"/>
      <c r="D13" s="10" t="s">
        <v>41</v>
      </c>
      <c r="E13" s="9" t="s">
        <v>42</v>
      </c>
      <c r="F13" s="9" t="s">
        <v>43</v>
      </c>
      <c r="G13" s="9"/>
      <c r="H13" s="9" t="s">
        <v>89</v>
      </c>
      <c r="I13" s="11" t="n">
        <v>582887</v>
      </c>
      <c r="J13" s="17" t="s">
        <v>59</v>
      </c>
      <c r="K13" s="13"/>
      <c r="L13" s="14" t="s">
        <v>45</v>
      </c>
      <c r="M13" s="14"/>
      <c r="N13" s="14"/>
      <c r="O13" s="14" t="s">
        <v>46</v>
      </c>
      <c r="P13" s="15"/>
      <c r="Q13" s="14" t="s">
        <v>45</v>
      </c>
      <c r="R13" s="14"/>
      <c r="S13" s="14"/>
      <c r="T13" s="15"/>
    </row>
    <row r="14" customFormat="false" ht="15" hidden="false" customHeight="false" outlineLevel="0" collapsed="false">
      <c r="A14" s="9" t="s">
        <v>90</v>
      </c>
      <c r="B14" s="9" t="s">
        <v>91</v>
      </c>
      <c r="C14" s="9" t="s">
        <v>47</v>
      </c>
      <c r="D14" s="10" t="s">
        <v>41</v>
      </c>
      <c r="E14" s="9" t="s">
        <v>42</v>
      </c>
      <c r="F14" s="9" t="s">
        <v>63</v>
      </c>
      <c r="G14" s="9"/>
      <c r="H14" s="9" t="s">
        <v>92</v>
      </c>
      <c r="I14" s="11" t="n">
        <v>52500</v>
      </c>
      <c r="J14" s="17" t="s">
        <v>59</v>
      </c>
      <c r="K14" s="13"/>
      <c r="L14" s="14" t="s">
        <v>60</v>
      </c>
      <c r="M14" s="14"/>
      <c r="N14" s="14"/>
      <c r="O14" s="14"/>
      <c r="P14" s="15"/>
      <c r="Q14" s="14" t="s">
        <v>45</v>
      </c>
      <c r="R14" s="14"/>
      <c r="S14" s="14"/>
      <c r="T14" s="15"/>
    </row>
    <row r="15" customFormat="false" ht="15" hidden="false" customHeight="false" outlineLevel="0" collapsed="false">
      <c r="A15" s="9" t="s">
        <v>93</v>
      </c>
      <c r="B15" s="9" t="s">
        <v>94</v>
      </c>
      <c r="C15" s="9" t="s">
        <v>47</v>
      </c>
      <c r="D15" s="10" t="s">
        <v>41</v>
      </c>
      <c r="E15" s="9" t="s">
        <v>42</v>
      </c>
      <c r="F15" s="9" t="s">
        <v>63</v>
      </c>
      <c r="G15" s="9" t="n">
        <v>1</v>
      </c>
      <c r="H15" s="9" t="s">
        <v>95</v>
      </c>
      <c r="I15" s="11" t="n">
        <v>10000</v>
      </c>
      <c r="J15" s="17" t="s">
        <v>59</v>
      </c>
      <c r="K15" s="13"/>
      <c r="L15" s="14" t="s">
        <v>45</v>
      </c>
      <c r="M15" s="14"/>
      <c r="N15" s="14"/>
      <c r="O15" s="14" t="s">
        <v>46</v>
      </c>
      <c r="P15" s="15"/>
      <c r="Q15" s="14" t="s">
        <v>69</v>
      </c>
      <c r="R15" s="14"/>
      <c r="S15" s="14"/>
      <c r="T15" s="15"/>
    </row>
    <row r="16" customFormat="false" ht="15" hidden="false" customHeight="false" outlineLevel="0" collapsed="false">
      <c r="A16" s="9" t="s">
        <v>96</v>
      </c>
      <c r="B16" s="9" t="s">
        <v>97</v>
      </c>
      <c r="C16" s="9" t="s">
        <v>47</v>
      </c>
      <c r="D16" s="10" t="s">
        <v>41</v>
      </c>
      <c r="E16" s="9" t="s">
        <v>42</v>
      </c>
      <c r="F16" s="9" t="s">
        <v>63</v>
      </c>
      <c r="G16" s="9"/>
      <c r="H16" s="9" t="s">
        <v>98</v>
      </c>
      <c r="I16" s="11" t="n">
        <v>1190250</v>
      </c>
      <c r="J16" s="17" t="s">
        <v>59</v>
      </c>
      <c r="K16" s="13"/>
      <c r="L16" s="14" t="s">
        <v>45</v>
      </c>
      <c r="M16" s="14"/>
      <c r="N16" s="14"/>
      <c r="O16" s="14"/>
      <c r="P16" s="15"/>
      <c r="Q16" s="14" t="s">
        <v>45</v>
      </c>
      <c r="R16" s="14" t="s">
        <v>65</v>
      </c>
      <c r="S16" s="14"/>
      <c r="T16" s="15"/>
    </row>
    <row r="17" customFormat="false" ht="15" hidden="false" customHeight="false" outlineLevel="0" collapsed="false">
      <c r="A17" s="9" t="s">
        <v>99</v>
      </c>
      <c r="B17" s="9" t="s">
        <v>100</v>
      </c>
      <c r="C17" s="9" t="s">
        <v>47</v>
      </c>
      <c r="D17" s="10" t="s">
        <v>41</v>
      </c>
      <c r="E17" s="9" t="s">
        <v>42</v>
      </c>
      <c r="F17" s="9" t="s">
        <v>63</v>
      </c>
      <c r="G17" s="9"/>
      <c r="H17" s="9" t="s">
        <v>101</v>
      </c>
      <c r="I17" s="11" t="n">
        <v>76176</v>
      </c>
      <c r="J17" s="17" t="s">
        <v>59</v>
      </c>
      <c r="K17" s="13"/>
      <c r="L17" s="14" t="s">
        <v>60</v>
      </c>
      <c r="M17" s="14"/>
      <c r="N17" s="14"/>
      <c r="O17" s="14"/>
      <c r="P17" s="15"/>
      <c r="Q17" s="14" t="s">
        <v>102</v>
      </c>
      <c r="R17" s="14" t="s">
        <v>50</v>
      </c>
      <c r="S17" s="14" t="s">
        <v>66</v>
      </c>
      <c r="T17" s="15"/>
    </row>
    <row r="18" customFormat="false" ht="15" hidden="false" customHeight="false" outlineLevel="0" collapsed="false">
      <c r="A18" s="9" t="s">
        <v>103</v>
      </c>
      <c r="B18" s="9" t="s">
        <v>104</v>
      </c>
      <c r="C18" s="9" t="s">
        <v>47</v>
      </c>
      <c r="D18" s="10" t="s">
        <v>41</v>
      </c>
      <c r="E18" s="9" t="s">
        <v>42</v>
      </c>
      <c r="F18" s="9" t="s">
        <v>63</v>
      </c>
      <c r="G18" s="9" t="n">
        <v>2</v>
      </c>
      <c r="H18" s="9" t="s">
        <v>105</v>
      </c>
      <c r="I18" s="11" t="n">
        <v>65000</v>
      </c>
      <c r="J18" s="17" t="s">
        <v>59</v>
      </c>
      <c r="K18" s="13"/>
      <c r="L18" s="14" t="s">
        <v>60</v>
      </c>
      <c r="M18" s="14"/>
      <c r="N18" s="14"/>
      <c r="O18" s="14"/>
      <c r="P18" s="15"/>
      <c r="Q18" s="14" t="s">
        <v>49</v>
      </c>
      <c r="R18" s="14" t="s">
        <v>65</v>
      </c>
      <c r="S18" s="14" t="s">
        <v>51</v>
      </c>
      <c r="T18" s="15"/>
    </row>
    <row r="19" customFormat="false" ht="15" hidden="false" customHeight="false" outlineLevel="0" collapsed="false">
      <c r="A19" s="9" t="s">
        <v>106</v>
      </c>
      <c r="B19" s="9" t="s">
        <v>106</v>
      </c>
      <c r="C19" s="9"/>
      <c r="D19" s="19" t="s">
        <v>107</v>
      </c>
      <c r="E19" s="9" t="s">
        <v>108</v>
      </c>
      <c r="F19" s="9" t="s">
        <v>43</v>
      </c>
      <c r="G19" s="9" t="n">
        <v>4</v>
      </c>
      <c r="H19" s="9" t="s">
        <v>109</v>
      </c>
      <c r="I19" s="11"/>
      <c r="J19" s="17" t="s">
        <v>59</v>
      </c>
      <c r="K19" s="13"/>
      <c r="L19" s="14"/>
      <c r="M19" s="14"/>
      <c r="N19" s="14"/>
      <c r="O19" s="14"/>
      <c r="P19" s="15"/>
      <c r="Q19" s="14"/>
      <c r="R19" s="14"/>
      <c r="S19" s="14"/>
      <c r="T19" s="15"/>
    </row>
    <row r="20" customFormat="false" ht="15" hidden="false" customHeight="false" outlineLevel="0" collapsed="false">
      <c r="A20" s="9" t="s">
        <v>110</v>
      </c>
      <c r="B20" s="9" t="s">
        <v>106</v>
      </c>
      <c r="C20" s="9" t="s">
        <v>47</v>
      </c>
      <c r="D20" s="19" t="s">
        <v>107</v>
      </c>
      <c r="E20" s="9" t="s">
        <v>108</v>
      </c>
      <c r="F20" s="9" t="s">
        <v>43</v>
      </c>
      <c r="G20" s="9" t="n">
        <v>4</v>
      </c>
      <c r="H20" s="9" t="s">
        <v>109</v>
      </c>
      <c r="I20" s="11" t="n">
        <v>52750</v>
      </c>
      <c r="J20" s="17" t="s">
        <v>59</v>
      </c>
      <c r="K20" s="13"/>
      <c r="L20" s="14"/>
      <c r="M20" s="14"/>
      <c r="N20" s="14"/>
      <c r="O20" s="14"/>
      <c r="P20" s="15"/>
      <c r="Q20" s="14"/>
      <c r="R20" s="14"/>
      <c r="S20" s="14"/>
      <c r="T20" s="15"/>
    </row>
    <row r="21" customFormat="false" ht="15" hidden="false" customHeight="false" outlineLevel="0" collapsed="false">
      <c r="A21" s="9" t="s">
        <v>111</v>
      </c>
      <c r="B21" s="9" t="s">
        <v>112</v>
      </c>
      <c r="C21" s="9" t="s">
        <v>113</v>
      </c>
      <c r="D21" s="19" t="s">
        <v>107</v>
      </c>
      <c r="E21" s="9" t="s">
        <v>42</v>
      </c>
      <c r="F21" s="9" t="s">
        <v>43</v>
      </c>
      <c r="G21" s="9" t="n">
        <v>2</v>
      </c>
      <c r="H21" s="9" t="s">
        <v>114</v>
      </c>
      <c r="I21" s="11" t="n">
        <v>54000</v>
      </c>
      <c r="J21" s="17" t="s">
        <v>59</v>
      </c>
      <c r="K21" s="13"/>
      <c r="L21" s="14"/>
      <c r="M21" s="14"/>
      <c r="N21" s="14"/>
      <c r="O21" s="14"/>
      <c r="P21" s="15"/>
      <c r="Q21" s="14"/>
      <c r="R21" s="14"/>
      <c r="S21" s="14"/>
      <c r="T21" s="15"/>
    </row>
    <row r="22" customFormat="false" ht="15" hidden="false" customHeight="false" outlineLevel="0" collapsed="false">
      <c r="A22" s="9" t="s">
        <v>115</v>
      </c>
      <c r="B22" s="9" t="s">
        <v>116</v>
      </c>
      <c r="C22" s="9" t="s">
        <v>113</v>
      </c>
      <c r="D22" s="10" t="s">
        <v>41</v>
      </c>
      <c r="E22" s="9" t="s">
        <v>42</v>
      </c>
      <c r="F22" s="9" t="s">
        <v>63</v>
      </c>
      <c r="G22" s="9" t="n">
        <v>3</v>
      </c>
      <c r="H22" s="9" t="s">
        <v>117</v>
      </c>
      <c r="I22" s="11" t="n">
        <v>100000</v>
      </c>
      <c r="J22" s="17" t="s">
        <v>59</v>
      </c>
      <c r="K22" s="13"/>
      <c r="L22" s="14" t="s">
        <v>60</v>
      </c>
      <c r="M22" s="14"/>
      <c r="N22" s="14"/>
      <c r="O22" s="14"/>
      <c r="P22" s="15"/>
      <c r="Q22" s="14" t="s">
        <v>49</v>
      </c>
      <c r="R22" s="14" t="s">
        <v>65</v>
      </c>
      <c r="S22" s="14" t="s">
        <v>51</v>
      </c>
      <c r="T22" s="15"/>
    </row>
    <row r="23" customFormat="false" ht="15" hidden="false" customHeight="false" outlineLevel="0" collapsed="false">
      <c r="A23" s="9" t="s">
        <v>118</v>
      </c>
      <c r="B23" s="9" t="s">
        <v>118</v>
      </c>
      <c r="C23" s="9"/>
      <c r="D23" s="10" t="s">
        <v>41</v>
      </c>
      <c r="E23" s="9" t="s">
        <v>119</v>
      </c>
      <c r="F23" s="9"/>
      <c r="G23" s="9" t="n">
        <v>1</v>
      </c>
      <c r="H23" s="9" t="s">
        <v>120</v>
      </c>
      <c r="I23" s="11"/>
      <c r="J23" s="17" t="s">
        <v>59</v>
      </c>
      <c r="K23" s="13"/>
      <c r="L23" s="14" t="s">
        <v>45</v>
      </c>
      <c r="M23" s="14"/>
      <c r="N23" s="14"/>
      <c r="O23" s="14" t="s">
        <v>46</v>
      </c>
      <c r="P23" s="15"/>
      <c r="Q23" s="14" t="s">
        <v>45</v>
      </c>
      <c r="R23" s="14"/>
      <c r="S23" s="14"/>
      <c r="T23" s="15"/>
    </row>
    <row r="24" customFormat="false" ht="15" hidden="false" customHeight="false" outlineLevel="0" collapsed="false">
      <c r="A24" s="9" t="s">
        <v>121</v>
      </c>
      <c r="B24" s="9" t="s">
        <v>122</v>
      </c>
      <c r="C24" s="9" t="s">
        <v>47</v>
      </c>
      <c r="D24" s="10" t="s">
        <v>41</v>
      </c>
      <c r="E24" s="9" t="s">
        <v>42</v>
      </c>
      <c r="F24" s="9" t="s">
        <v>63</v>
      </c>
      <c r="G24" s="9"/>
      <c r="H24" s="9" t="s">
        <v>123</v>
      </c>
      <c r="I24" s="11" t="n">
        <v>121322</v>
      </c>
      <c r="J24" s="17" t="s">
        <v>59</v>
      </c>
      <c r="K24" s="13"/>
      <c r="L24" s="14" t="s">
        <v>45</v>
      </c>
      <c r="M24" s="14"/>
      <c r="N24" s="14"/>
      <c r="O24" s="14"/>
      <c r="P24" s="15"/>
      <c r="Q24" s="14" t="s">
        <v>45</v>
      </c>
      <c r="R24" s="14" t="s">
        <v>65</v>
      </c>
      <c r="S24" s="14"/>
      <c r="T24" s="15"/>
    </row>
    <row r="25" customFormat="false" ht="15" hidden="false" customHeight="false" outlineLevel="0" collapsed="false">
      <c r="A25" s="9" t="s">
        <v>124</v>
      </c>
      <c r="B25" s="9" t="s">
        <v>125</v>
      </c>
      <c r="C25" s="9" t="s">
        <v>47</v>
      </c>
      <c r="D25" s="16" t="s">
        <v>56</v>
      </c>
      <c r="E25" s="9" t="s">
        <v>57</v>
      </c>
      <c r="F25" s="9" t="s">
        <v>63</v>
      </c>
      <c r="G25" s="9"/>
      <c r="H25" s="9" t="s">
        <v>124</v>
      </c>
      <c r="I25" s="11" t="n">
        <v>198450</v>
      </c>
      <c r="J25" s="17" t="s">
        <v>59</v>
      </c>
      <c r="K25" s="13"/>
      <c r="L25" s="14" t="s">
        <v>45</v>
      </c>
      <c r="M25" s="14"/>
      <c r="N25" s="14" t="s">
        <v>51</v>
      </c>
      <c r="O25" s="14" t="s">
        <v>46</v>
      </c>
      <c r="P25" s="15"/>
      <c r="Q25" s="14" t="s">
        <v>45</v>
      </c>
      <c r="R25" s="14" t="s">
        <v>50</v>
      </c>
      <c r="S25" s="14" t="s">
        <v>51</v>
      </c>
      <c r="T25" s="15"/>
    </row>
    <row r="26" customFormat="false" ht="15" hidden="false" customHeight="false" outlineLevel="0" collapsed="false">
      <c r="A26" s="9" t="s">
        <v>126</v>
      </c>
      <c r="B26" s="9" t="s">
        <v>127</v>
      </c>
      <c r="C26" s="9" t="s">
        <v>113</v>
      </c>
      <c r="D26" s="16" t="s">
        <v>56</v>
      </c>
      <c r="E26" s="9" t="s">
        <v>57</v>
      </c>
      <c r="F26" s="9" t="s">
        <v>43</v>
      </c>
      <c r="G26" s="9" t="n">
        <v>3</v>
      </c>
      <c r="H26" s="9" t="s">
        <v>128</v>
      </c>
      <c r="I26" s="11" t="n">
        <v>0</v>
      </c>
      <c r="J26" s="17" t="s">
        <v>59</v>
      </c>
      <c r="K26" s="13"/>
      <c r="L26" s="14" t="s">
        <v>45</v>
      </c>
      <c r="M26" s="14"/>
      <c r="N26" s="14"/>
      <c r="O26" s="14"/>
      <c r="P26" s="15"/>
      <c r="Q26" s="14" t="s">
        <v>45</v>
      </c>
      <c r="R26" s="14"/>
      <c r="S26" s="14"/>
      <c r="T26" s="15"/>
    </row>
    <row r="27" customFormat="false" ht="15" hidden="false" customHeight="false" outlineLevel="0" collapsed="false">
      <c r="A27" s="9" t="s">
        <v>129</v>
      </c>
      <c r="B27" s="9" t="s">
        <v>130</v>
      </c>
      <c r="C27" s="9" t="s">
        <v>47</v>
      </c>
      <c r="D27" s="10" t="s">
        <v>41</v>
      </c>
      <c r="E27" s="9" t="s">
        <v>42</v>
      </c>
      <c r="F27" s="9" t="s">
        <v>63</v>
      </c>
      <c r="G27" s="9"/>
      <c r="H27" s="9" t="s">
        <v>131</v>
      </c>
      <c r="I27" s="11" t="n">
        <v>1583445</v>
      </c>
      <c r="J27" s="17" t="s">
        <v>59</v>
      </c>
      <c r="K27" s="13"/>
      <c r="L27" s="14" t="s">
        <v>45</v>
      </c>
      <c r="M27" s="14"/>
      <c r="N27" s="14"/>
      <c r="O27" s="14"/>
      <c r="P27" s="15"/>
      <c r="Q27" s="14" t="s">
        <v>45</v>
      </c>
      <c r="R27" s="14" t="s">
        <v>65</v>
      </c>
      <c r="S27" s="14" t="s">
        <v>51</v>
      </c>
      <c r="T27" s="15"/>
    </row>
    <row r="28" customFormat="false" ht="15" hidden="false" customHeight="false" outlineLevel="0" collapsed="false">
      <c r="A28" s="9" t="s">
        <v>132</v>
      </c>
      <c r="B28" s="9" t="s">
        <v>133</v>
      </c>
      <c r="C28" s="9" t="s">
        <v>47</v>
      </c>
      <c r="D28" s="10" t="s">
        <v>41</v>
      </c>
      <c r="E28" s="9" t="s">
        <v>42</v>
      </c>
      <c r="F28" s="9" t="s">
        <v>43</v>
      </c>
      <c r="G28" s="9" t="n">
        <v>3</v>
      </c>
      <c r="H28" s="9" t="s">
        <v>134</v>
      </c>
      <c r="I28" s="11" t="n">
        <v>85780</v>
      </c>
      <c r="J28" s="18" t="s">
        <v>82</v>
      </c>
      <c r="K28" s="13" t="n">
        <v>5</v>
      </c>
      <c r="L28" s="14" t="s">
        <v>83</v>
      </c>
      <c r="M28" s="14" t="s">
        <v>65</v>
      </c>
      <c r="N28" s="14" t="s">
        <v>66</v>
      </c>
      <c r="O28" s="14" t="s">
        <v>46</v>
      </c>
      <c r="P28" s="15"/>
      <c r="Q28" s="14" t="s">
        <v>49</v>
      </c>
      <c r="R28" s="14" t="s">
        <v>65</v>
      </c>
      <c r="S28" s="14" t="s">
        <v>51</v>
      </c>
      <c r="T28" s="15"/>
    </row>
    <row r="29" customFormat="false" ht="15" hidden="false" customHeight="false" outlineLevel="0" collapsed="false">
      <c r="A29" s="9" t="s">
        <v>135</v>
      </c>
      <c r="B29" s="9" t="s">
        <v>136</v>
      </c>
      <c r="C29" s="9" t="s">
        <v>47</v>
      </c>
      <c r="D29" s="10" t="s">
        <v>41</v>
      </c>
      <c r="E29" s="9" t="s">
        <v>42</v>
      </c>
      <c r="F29" s="9" t="s">
        <v>63</v>
      </c>
      <c r="G29" s="9"/>
      <c r="H29" s="9" t="s">
        <v>137</v>
      </c>
      <c r="I29" s="11" t="n">
        <v>71447</v>
      </c>
      <c r="J29" s="17" t="s">
        <v>59</v>
      </c>
      <c r="K29" s="13"/>
      <c r="L29" s="14" t="s">
        <v>60</v>
      </c>
      <c r="M29" s="14" t="s">
        <v>65</v>
      </c>
      <c r="N29" s="14" t="s">
        <v>66</v>
      </c>
      <c r="O29" s="14" t="s">
        <v>46</v>
      </c>
      <c r="P29" s="15"/>
      <c r="Q29" s="14" t="s">
        <v>83</v>
      </c>
      <c r="R29" s="14" t="s">
        <v>65</v>
      </c>
      <c r="S29" s="14" t="s">
        <v>66</v>
      </c>
      <c r="T29" s="15"/>
    </row>
    <row r="30" customFormat="false" ht="15" hidden="false" customHeight="false" outlineLevel="0" collapsed="false">
      <c r="A30" s="9" t="s">
        <v>138</v>
      </c>
      <c r="B30" s="9" t="s">
        <v>139</v>
      </c>
      <c r="C30" s="9" t="s">
        <v>47</v>
      </c>
      <c r="D30" s="10" t="s">
        <v>41</v>
      </c>
      <c r="E30" s="9" t="s">
        <v>140</v>
      </c>
      <c r="F30" s="9" t="s">
        <v>43</v>
      </c>
      <c r="G30" s="9" t="n">
        <v>3</v>
      </c>
      <c r="H30" s="9" t="s">
        <v>141</v>
      </c>
      <c r="I30" s="11" t="n">
        <v>72300</v>
      </c>
      <c r="J30" s="17" t="s">
        <v>59</v>
      </c>
      <c r="K30" s="13"/>
      <c r="L30" s="14"/>
      <c r="M30" s="14"/>
      <c r="N30" s="14"/>
      <c r="O30" s="14"/>
      <c r="P30" s="15"/>
      <c r="Q30" s="14"/>
      <c r="R30" s="14"/>
      <c r="S30" s="14"/>
      <c r="T30" s="15"/>
    </row>
    <row r="31" customFormat="false" ht="15" hidden="false" customHeight="false" outlineLevel="0" collapsed="false">
      <c r="A31" s="9" t="s">
        <v>142</v>
      </c>
      <c r="B31" s="9" t="s">
        <v>143</v>
      </c>
      <c r="C31" s="9" t="s">
        <v>47</v>
      </c>
      <c r="D31" s="10" t="s">
        <v>41</v>
      </c>
      <c r="E31" s="9" t="s">
        <v>42</v>
      </c>
      <c r="F31" s="9" t="s">
        <v>63</v>
      </c>
      <c r="G31" s="9"/>
      <c r="H31" s="9" t="s">
        <v>144</v>
      </c>
      <c r="I31" s="11" t="n">
        <v>59145</v>
      </c>
      <c r="J31" s="17" t="s">
        <v>59</v>
      </c>
      <c r="K31" s="13"/>
      <c r="L31" s="14" t="s">
        <v>60</v>
      </c>
      <c r="M31" s="14"/>
      <c r="N31" s="14"/>
      <c r="O31" s="14"/>
      <c r="P31" s="15"/>
      <c r="Q31" s="14" t="s">
        <v>49</v>
      </c>
      <c r="R31" s="14" t="s">
        <v>65</v>
      </c>
      <c r="S31" s="14" t="s">
        <v>51</v>
      </c>
      <c r="T31" s="15"/>
    </row>
    <row r="32" customFormat="false" ht="15" hidden="false" customHeight="false" outlineLevel="0" collapsed="false">
      <c r="A32" s="9" t="s">
        <v>145</v>
      </c>
      <c r="B32" s="9" t="s">
        <v>146</v>
      </c>
      <c r="C32" s="9" t="s">
        <v>113</v>
      </c>
      <c r="D32" s="16" t="s">
        <v>56</v>
      </c>
      <c r="E32" s="9" t="s">
        <v>57</v>
      </c>
      <c r="F32" s="9" t="s">
        <v>43</v>
      </c>
      <c r="G32" s="9" t="n">
        <v>3</v>
      </c>
      <c r="H32" s="9" t="s">
        <v>145</v>
      </c>
      <c r="I32" s="11" t="n">
        <v>155300</v>
      </c>
      <c r="J32" s="17" t="s">
        <v>59</v>
      </c>
      <c r="K32" s="13"/>
      <c r="L32" s="14" t="s">
        <v>45</v>
      </c>
      <c r="M32" s="14" t="s">
        <v>147</v>
      </c>
      <c r="N32" s="14"/>
      <c r="O32" s="14"/>
      <c r="P32" s="15"/>
      <c r="Q32" s="14" t="s">
        <v>45</v>
      </c>
      <c r="R32" s="14" t="s">
        <v>147</v>
      </c>
      <c r="S32" s="14"/>
      <c r="T32" s="15"/>
    </row>
    <row r="33" customFormat="false" ht="15" hidden="false" customHeight="false" outlineLevel="0" collapsed="false">
      <c r="A33" s="9" t="s">
        <v>148</v>
      </c>
      <c r="B33" s="9" t="s">
        <v>149</v>
      </c>
      <c r="C33" s="9" t="s">
        <v>47</v>
      </c>
      <c r="D33" s="10" t="s">
        <v>41</v>
      </c>
      <c r="E33" s="9" t="s">
        <v>42</v>
      </c>
      <c r="F33" s="9" t="s">
        <v>63</v>
      </c>
      <c r="G33" s="9"/>
      <c r="H33" s="9" t="s">
        <v>150</v>
      </c>
      <c r="I33" s="11" t="n">
        <v>73185</v>
      </c>
      <c r="J33" s="17" t="s">
        <v>59</v>
      </c>
      <c r="K33" s="13"/>
      <c r="L33" s="14" t="s">
        <v>45</v>
      </c>
      <c r="M33" s="14"/>
      <c r="N33" s="14"/>
      <c r="O33" s="14"/>
      <c r="P33" s="15"/>
      <c r="Q33" s="14" t="s">
        <v>45</v>
      </c>
      <c r="R33" s="14"/>
      <c r="S33" s="14"/>
      <c r="T33" s="15"/>
    </row>
    <row r="34" customFormat="false" ht="15" hidden="false" customHeight="false" outlineLevel="0" collapsed="false">
      <c r="A34" s="9" t="s">
        <v>151</v>
      </c>
      <c r="B34" s="9" t="s">
        <v>152</v>
      </c>
      <c r="C34" s="9" t="s">
        <v>47</v>
      </c>
      <c r="D34" s="10" t="s">
        <v>41</v>
      </c>
      <c r="E34" s="9" t="s">
        <v>42</v>
      </c>
      <c r="F34" s="9" t="s">
        <v>63</v>
      </c>
      <c r="G34" s="9" t="n">
        <v>1</v>
      </c>
      <c r="H34" s="9" t="s">
        <v>153</v>
      </c>
      <c r="I34" s="11" t="n">
        <v>25000</v>
      </c>
      <c r="J34" s="17" t="s">
        <v>59</v>
      </c>
      <c r="K34" s="13"/>
      <c r="L34" s="14" t="s">
        <v>45</v>
      </c>
      <c r="M34" s="14"/>
      <c r="N34" s="14"/>
      <c r="O34" s="14"/>
      <c r="P34" s="15"/>
      <c r="Q34" s="14" t="s">
        <v>45</v>
      </c>
      <c r="R34" s="14" t="s">
        <v>65</v>
      </c>
      <c r="S34" s="14" t="s">
        <v>51</v>
      </c>
      <c r="T34" s="15"/>
    </row>
    <row r="35" customFormat="false" ht="15" hidden="false" customHeight="false" outlineLevel="0" collapsed="false">
      <c r="A35" s="9" t="s">
        <v>154</v>
      </c>
      <c r="B35" s="9" t="s">
        <v>155</v>
      </c>
      <c r="C35" s="9" t="s">
        <v>47</v>
      </c>
      <c r="D35" s="10" t="s">
        <v>41</v>
      </c>
      <c r="E35" s="9" t="s">
        <v>108</v>
      </c>
      <c r="F35" s="9" t="s">
        <v>43</v>
      </c>
      <c r="G35" s="9" t="n">
        <v>1</v>
      </c>
      <c r="H35" s="9" t="s">
        <v>156</v>
      </c>
      <c r="I35" s="11" t="n">
        <v>60080</v>
      </c>
      <c r="J35" s="17" t="s">
        <v>59</v>
      </c>
      <c r="K35" s="13"/>
      <c r="L35" s="14" t="s">
        <v>45</v>
      </c>
      <c r="M35" s="14"/>
      <c r="N35" s="14"/>
      <c r="O35" s="14" t="s">
        <v>46</v>
      </c>
      <c r="P35" s="15"/>
      <c r="Q35" s="14" t="s">
        <v>45</v>
      </c>
      <c r="R35" s="14"/>
      <c r="S35" s="14"/>
      <c r="T35" s="15"/>
    </row>
    <row r="36" customFormat="false" ht="15" hidden="false" customHeight="false" outlineLevel="0" collapsed="false">
      <c r="A36" s="9" t="s">
        <v>157</v>
      </c>
      <c r="B36" s="9" t="s">
        <v>158</v>
      </c>
      <c r="C36" s="9" t="s">
        <v>47</v>
      </c>
      <c r="D36" s="10" t="s">
        <v>41</v>
      </c>
      <c r="E36" s="9" t="s">
        <v>42</v>
      </c>
      <c r="F36" s="9" t="s">
        <v>43</v>
      </c>
      <c r="G36" s="9" t="n">
        <v>1</v>
      </c>
      <c r="H36" s="9" t="s">
        <v>157</v>
      </c>
      <c r="I36" s="11" t="n">
        <v>265000</v>
      </c>
      <c r="J36" s="17" t="s">
        <v>59</v>
      </c>
      <c r="K36" s="13"/>
      <c r="L36" s="14" t="s">
        <v>45</v>
      </c>
      <c r="M36" s="14"/>
      <c r="N36" s="14"/>
      <c r="O36" s="14" t="s">
        <v>46</v>
      </c>
      <c r="P36" s="15"/>
      <c r="Q36" s="14" t="s">
        <v>45</v>
      </c>
      <c r="R36" s="14"/>
      <c r="S36" s="14"/>
      <c r="T36" s="15"/>
    </row>
    <row r="37" customFormat="false" ht="15" hidden="false" customHeight="false" outlineLevel="0" collapsed="false">
      <c r="A37" s="9" t="s">
        <v>159</v>
      </c>
      <c r="B37" s="9" t="s">
        <v>160</v>
      </c>
      <c r="C37" s="9" t="s">
        <v>47</v>
      </c>
      <c r="D37" s="10" t="s">
        <v>41</v>
      </c>
      <c r="E37" s="9" t="s">
        <v>42</v>
      </c>
      <c r="F37" s="9" t="s">
        <v>63</v>
      </c>
      <c r="G37" s="9"/>
      <c r="H37" s="9" t="s">
        <v>161</v>
      </c>
      <c r="I37" s="11" t="n">
        <v>92500</v>
      </c>
      <c r="J37" s="17" t="s">
        <v>59</v>
      </c>
      <c r="K37" s="13"/>
      <c r="L37" s="14" t="s">
        <v>60</v>
      </c>
      <c r="M37" s="14"/>
      <c r="N37" s="14"/>
      <c r="O37" s="14"/>
      <c r="P37" s="15"/>
      <c r="Q37" s="14" t="s">
        <v>45</v>
      </c>
      <c r="R37" s="14"/>
      <c r="S37" s="14"/>
      <c r="T37" s="15"/>
    </row>
    <row r="38" customFormat="false" ht="15" hidden="false" customHeight="false" outlineLevel="0" collapsed="false">
      <c r="A38" s="9" t="s">
        <v>162</v>
      </c>
      <c r="B38" s="9" t="s">
        <v>163</v>
      </c>
      <c r="C38" s="9" t="s">
        <v>47</v>
      </c>
      <c r="D38" s="10" t="s">
        <v>41</v>
      </c>
      <c r="E38" s="9" t="s">
        <v>42</v>
      </c>
      <c r="F38" s="9" t="s">
        <v>63</v>
      </c>
      <c r="G38" s="9"/>
      <c r="H38" s="9" t="s">
        <v>164</v>
      </c>
      <c r="I38" s="11" t="n">
        <v>22898</v>
      </c>
      <c r="J38" s="17" t="s">
        <v>59</v>
      </c>
      <c r="K38" s="13"/>
      <c r="L38" s="14" t="s">
        <v>45</v>
      </c>
      <c r="M38" s="14"/>
      <c r="N38" s="14"/>
      <c r="O38" s="14"/>
      <c r="P38" s="15"/>
      <c r="Q38" s="14" t="s">
        <v>45</v>
      </c>
      <c r="R38" s="14"/>
      <c r="S38" s="14"/>
      <c r="T38" s="15"/>
    </row>
    <row r="39" customFormat="false" ht="15" hidden="false" customHeight="false" outlineLevel="0" collapsed="false">
      <c r="A39" s="9" t="s">
        <v>165</v>
      </c>
      <c r="B39" s="9" t="s">
        <v>166</v>
      </c>
      <c r="C39" s="9" t="s">
        <v>47</v>
      </c>
      <c r="D39" s="10" t="s">
        <v>41</v>
      </c>
      <c r="E39" s="9" t="s">
        <v>42</v>
      </c>
      <c r="F39" s="9" t="s">
        <v>43</v>
      </c>
      <c r="G39" s="9" t="n">
        <v>1</v>
      </c>
      <c r="H39" s="9" t="s">
        <v>167</v>
      </c>
      <c r="I39" s="11" t="n">
        <v>50000</v>
      </c>
      <c r="J39" s="17" t="s">
        <v>59</v>
      </c>
      <c r="K39" s="13"/>
      <c r="L39" s="14" t="s">
        <v>45</v>
      </c>
      <c r="M39" s="14"/>
      <c r="N39" s="14"/>
      <c r="O39" s="14" t="s">
        <v>46</v>
      </c>
      <c r="P39" s="15"/>
      <c r="Q39" s="14" t="s">
        <v>45</v>
      </c>
      <c r="R39" s="14"/>
      <c r="S39" s="14"/>
      <c r="T39" s="15"/>
    </row>
    <row r="40" customFormat="false" ht="15" hidden="false" customHeight="false" outlineLevel="0" collapsed="false">
      <c r="A40" s="9" t="s">
        <v>168</v>
      </c>
      <c r="B40" s="9" t="s">
        <v>169</v>
      </c>
      <c r="C40" s="9" t="s">
        <v>47</v>
      </c>
      <c r="D40" s="10" t="s">
        <v>41</v>
      </c>
      <c r="E40" s="9" t="s">
        <v>42</v>
      </c>
      <c r="F40" s="9"/>
      <c r="G40" s="9"/>
      <c r="H40" s="9"/>
      <c r="I40" s="11" t="n">
        <v>1092727.3</v>
      </c>
      <c r="J40" s="12" t="s">
        <v>44</v>
      </c>
      <c r="K40" s="13"/>
      <c r="L40" s="14" t="s">
        <v>60</v>
      </c>
      <c r="M40" s="14"/>
      <c r="N40" s="14"/>
      <c r="O40" s="14"/>
      <c r="P40" s="15"/>
      <c r="Q40" s="14" t="s">
        <v>83</v>
      </c>
      <c r="R40" s="14" t="s">
        <v>65</v>
      </c>
      <c r="S40" s="14" t="s">
        <v>66</v>
      </c>
      <c r="T40" s="15"/>
    </row>
    <row r="41" customFormat="false" ht="15" hidden="false" customHeight="false" outlineLevel="0" collapsed="false">
      <c r="A41" s="9" t="s">
        <v>168</v>
      </c>
      <c r="B41" s="9" t="s">
        <v>169</v>
      </c>
      <c r="C41" s="9" t="s">
        <v>47</v>
      </c>
      <c r="D41" s="10" t="s">
        <v>41</v>
      </c>
      <c r="E41" s="9" t="s">
        <v>42</v>
      </c>
      <c r="F41" s="9" t="s">
        <v>63</v>
      </c>
      <c r="G41" s="9"/>
      <c r="H41" s="9" t="s">
        <v>170</v>
      </c>
      <c r="I41" s="11" t="n">
        <v>1092727</v>
      </c>
      <c r="J41" s="17" t="s">
        <v>59</v>
      </c>
      <c r="K41" s="13"/>
      <c r="L41" s="14" t="s">
        <v>45</v>
      </c>
      <c r="M41" s="14"/>
      <c r="N41" s="14"/>
      <c r="O41" s="14" t="s">
        <v>46</v>
      </c>
      <c r="P41" s="15"/>
      <c r="Q41" s="14" t="s">
        <v>45</v>
      </c>
      <c r="R41" s="14"/>
      <c r="S41" s="14"/>
      <c r="T41" s="15"/>
    </row>
    <row r="42" customFormat="false" ht="15" hidden="false" customHeight="false" outlineLevel="0" collapsed="false">
      <c r="A42" s="9" t="s">
        <v>171</v>
      </c>
      <c r="B42" s="9" t="s">
        <v>172</v>
      </c>
      <c r="C42" s="9" t="s">
        <v>47</v>
      </c>
      <c r="D42" s="10" t="s">
        <v>41</v>
      </c>
      <c r="E42" s="9" t="s">
        <v>42</v>
      </c>
      <c r="F42" s="9" t="s">
        <v>63</v>
      </c>
      <c r="G42" s="9" t="n">
        <v>1</v>
      </c>
      <c r="H42" s="9" t="s">
        <v>173</v>
      </c>
      <c r="I42" s="11" t="n">
        <v>76700</v>
      </c>
      <c r="J42" s="17" t="s">
        <v>59</v>
      </c>
      <c r="K42" s="13"/>
      <c r="L42" s="14" t="s">
        <v>45</v>
      </c>
      <c r="M42" s="14"/>
      <c r="N42" s="14"/>
      <c r="O42" s="14" t="s">
        <v>46</v>
      </c>
      <c r="P42" s="15"/>
      <c r="Q42" s="14" t="s">
        <v>45</v>
      </c>
      <c r="R42" s="14"/>
      <c r="S42" s="14"/>
      <c r="T42" s="15"/>
    </row>
    <row r="43" customFormat="false" ht="15" hidden="false" customHeight="false" outlineLevel="0" collapsed="false">
      <c r="A43" s="9" t="s">
        <v>174</v>
      </c>
      <c r="B43" s="9" t="s">
        <v>175</v>
      </c>
      <c r="C43" s="9" t="s">
        <v>113</v>
      </c>
      <c r="D43" s="16" t="s">
        <v>56</v>
      </c>
      <c r="E43" s="9" t="s">
        <v>57</v>
      </c>
      <c r="F43" s="9"/>
      <c r="G43" s="9" t="n">
        <v>3</v>
      </c>
      <c r="H43" s="9" t="s">
        <v>176</v>
      </c>
      <c r="I43" s="11" t="n">
        <v>300868</v>
      </c>
      <c r="J43" s="17" t="s">
        <v>59</v>
      </c>
      <c r="K43" s="13"/>
      <c r="L43" s="14" t="s">
        <v>45</v>
      </c>
      <c r="M43" s="14"/>
      <c r="N43" s="14"/>
      <c r="O43" s="14"/>
      <c r="P43" s="15"/>
      <c r="Q43" s="14" t="s">
        <v>45</v>
      </c>
      <c r="R43" s="14"/>
      <c r="S43" s="14"/>
      <c r="T43" s="15"/>
    </row>
    <row r="44" customFormat="false" ht="15" hidden="false" customHeight="false" outlineLevel="0" collapsed="false">
      <c r="A44" s="9" t="s">
        <v>177</v>
      </c>
      <c r="B44" s="9" t="s">
        <v>178</v>
      </c>
      <c r="C44" s="9" t="s">
        <v>47</v>
      </c>
      <c r="D44" s="10" t="s">
        <v>41</v>
      </c>
      <c r="E44" s="9" t="s">
        <v>42</v>
      </c>
      <c r="F44" s="9" t="s">
        <v>63</v>
      </c>
      <c r="G44" s="9"/>
      <c r="H44" s="9" t="s">
        <v>179</v>
      </c>
      <c r="I44" s="11" t="n">
        <v>195237</v>
      </c>
      <c r="J44" s="17" t="s">
        <v>59</v>
      </c>
      <c r="K44" s="13"/>
      <c r="L44" s="14" t="s">
        <v>45</v>
      </c>
      <c r="M44" s="14" t="s">
        <v>180</v>
      </c>
      <c r="N44" s="14" t="s">
        <v>66</v>
      </c>
      <c r="O44" s="14" t="s">
        <v>46</v>
      </c>
      <c r="P44" s="15"/>
      <c r="Q44" s="14" t="s">
        <v>45</v>
      </c>
      <c r="R44" s="14" t="s">
        <v>50</v>
      </c>
      <c r="S44" s="14" t="s">
        <v>66</v>
      </c>
      <c r="T44" s="15"/>
    </row>
    <row r="45" customFormat="false" ht="15" hidden="false" customHeight="false" outlineLevel="0" collapsed="false">
      <c r="A45" s="9" t="s">
        <v>181</v>
      </c>
      <c r="B45" s="9" t="s">
        <v>182</v>
      </c>
      <c r="C45" s="9" t="s">
        <v>47</v>
      </c>
      <c r="D45" s="10" t="s">
        <v>41</v>
      </c>
      <c r="E45" s="9" t="s">
        <v>42</v>
      </c>
      <c r="F45" s="9" t="s">
        <v>63</v>
      </c>
      <c r="G45" s="9"/>
      <c r="H45" s="9" t="s">
        <v>183</v>
      </c>
      <c r="I45" s="11" t="n">
        <v>53500</v>
      </c>
      <c r="J45" s="17" t="s">
        <v>59</v>
      </c>
      <c r="K45" s="13"/>
      <c r="L45" s="14" t="s">
        <v>60</v>
      </c>
      <c r="M45" s="14"/>
      <c r="N45" s="14"/>
      <c r="O45" s="14"/>
      <c r="P45" s="15"/>
      <c r="Q45" s="14" t="s">
        <v>49</v>
      </c>
      <c r="R45" s="14" t="s">
        <v>65</v>
      </c>
      <c r="S45" s="14" t="s">
        <v>51</v>
      </c>
      <c r="T45" s="15"/>
    </row>
    <row r="46" customFormat="false" ht="15" hidden="false" customHeight="false" outlineLevel="0" collapsed="false">
      <c r="A46" s="9" t="s">
        <v>184</v>
      </c>
      <c r="B46" s="9" t="s">
        <v>185</v>
      </c>
      <c r="C46" s="9" t="s">
        <v>47</v>
      </c>
      <c r="D46" s="10" t="s">
        <v>41</v>
      </c>
      <c r="E46" s="9" t="s">
        <v>42</v>
      </c>
      <c r="F46" s="9" t="s">
        <v>63</v>
      </c>
      <c r="G46" s="9"/>
      <c r="H46" s="9" t="s">
        <v>186</v>
      </c>
      <c r="I46" s="11" t="n">
        <v>210000</v>
      </c>
      <c r="J46" s="17" t="s">
        <v>59</v>
      </c>
      <c r="K46" s="13"/>
      <c r="L46" s="14" t="s">
        <v>45</v>
      </c>
      <c r="M46" s="14"/>
      <c r="N46" s="14"/>
      <c r="O46" s="14"/>
      <c r="P46" s="15"/>
      <c r="Q46" s="14" t="s">
        <v>45</v>
      </c>
      <c r="R46" s="14"/>
      <c r="S46" s="14"/>
      <c r="T46" s="15"/>
    </row>
    <row r="47" customFormat="false" ht="15" hidden="false" customHeight="false" outlineLevel="0" collapsed="false">
      <c r="A47" s="9" t="s">
        <v>187</v>
      </c>
      <c r="B47" s="9" t="s">
        <v>188</v>
      </c>
      <c r="C47" s="9" t="s">
        <v>47</v>
      </c>
      <c r="D47" s="10" t="s">
        <v>41</v>
      </c>
      <c r="E47" s="9" t="s">
        <v>42</v>
      </c>
      <c r="F47" s="9" t="s">
        <v>63</v>
      </c>
      <c r="G47" s="9"/>
      <c r="H47" s="9" t="s">
        <v>189</v>
      </c>
      <c r="I47" s="11" t="n">
        <v>109450</v>
      </c>
      <c r="J47" s="17" t="s">
        <v>59</v>
      </c>
      <c r="K47" s="13"/>
      <c r="L47" s="14" t="s">
        <v>60</v>
      </c>
      <c r="M47" s="14"/>
      <c r="N47" s="14"/>
      <c r="O47" s="14"/>
      <c r="P47" s="15"/>
      <c r="Q47" s="14" t="s">
        <v>45</v>
      </c>
      <c r="R47" s="14"/>
      <c r="S47" s="14"/>
      <c r="T47" s="15"/>
    </row>
    <row r="48" customFormat="false" ht="15" hidden="false" customHeight="false" outlineLevel="0" collapsed="false">
      <c r="A48" s="9" t="s">
        <v>190</v>
      </c>
      <c r="B48" s="9" t="s">
        <v>191</v>
      </c>
      <c r="C48" s="9" t="s">
        <v>47</v>
      </c>
      <c r="D48" s="10" t="s">
        <v>41</v>
      </c>
      <c r="E48" s="9" t="s">
        <v>42</v>
      </c>
      <c r="F48" s="9" t="s">
        <v>63</v>
      </c>
      <c r="G48" s="9"/>
      <c r="H48" s="9" t="s">
        <v>190</v>
      </c>
      <c r="I48" s="11" t="n">
        <v>564027</v>
      </c>
      <c r="J48" s="17" t="s">
        <v>59</v>
      </c>
      <c r="K48" s="13"/>
      <c r="L48" s="14" t="s">
        <v>45</v>
      </c>
      <c r="M48" s="14"/>
      <c r="N48" s="14"/>
      <c r="O48" s="14"/>
      <c r="P48" s="15"/>
      <c r="Q48" s="14" t="s">
        <v>45</v>
      </c>
      <c r="R48" s="14"/>
      <c r="S48" s="14"/>
      <c r="T48" s="15"/>
    </row>
    <row r="49" customFormat="false" ht="57.45" hidden="false" customHeight="false" outlineLevel="0" collapsed="false">
      <c r="A49" s="9" t="s">
        <v>192</v>
      </c>
      <c r="B49" s="9" t="s">
        <v>191</v>
      </c>
      <c r="C49" s="9" t="s">
        <v>47</v>
      </c>
      <c r="D49" s="10" t="s">
        <v>41</v>
      </c>
      <c r="E49" s="9" t="s">
        <v>42</v>
      </c>
      <c r="F49" s="9" t="s">
        <v>193</v>
      </c>
      <c r="G49" s="9"/>
      <c r="H49" s="9" t="s">
        <v>190</v>
      </c>
      <c r="I49" s="11" t="n">
        <v>161095</v>
      </c>
      <c r="J49" s="17" t="s">
        <v>59</v>
      </c>
      <c r="K49" s="13"/>
      <c r="L49" s="14" t="s">
        <v>60</v>
      </c>
      <c r="M49" s="14"/>
      <c r="N49" s="14"/>
      <c r="O49" s="14" t="s">
        <v>194</v>
      </c>
      <c r="P49" s="15" t="s">
        <v>195</v>
      </c>
      <c r="Q49" s="14" t="s">
        <v>45</v>
      </c>
      <c r="R49" s="14" t="s">
        <v>65</v>
      </c>
      <c r="S49" s="14"/>
      <c r="T49" s="15"/>
    </row>
    <row r="50" customFormat="false" ht="15" hidden="false" customHeight="false" outlineLevel="0" collapsed="false">
      <c r="A50" s="9" t="s">
        <v>196</v>
      </c>
      <c r="B50" s="9" t="s">
        <v>196</v>
      </c>
      <c r="C50" s="9"/>
      <c r="D50" s="10" t="s">
        <v>41</v>
      </c>
      <c r="E50" s="9" t="s">
        <v>108</v>
      </c>
      <c r="F50" s="9"/>
      <c r="G50" s="9" t="n">
        <v>1</v>
      </c>
      <c r="H50" s="9" t="s">
        <v>197</v>
      </c>
      <c r="I50" s="11" t="n">
        <v>52947</v>
      </c>
      <c r="J50" s="17" t="s">
        <v>59</v>
      </c>
      <c r="K50" s="13"/>
      <c r="L50" s="14" t="s">
        <v>45</v>
      </c>
      <c r="M50" s="14"/>
      <c r="N50" s="14"/>
      <c r="O50" s="14" t="s">
        <v>46</v>
      </c>
      <c r="P50" s="15"/>
      <c r="Q50" s="14" t="s">
        <v>45</v>
      </c>
      <c r="R50" s="14"/>
      <c r="S50" s="14"/>
      <c r="T50" s="15"/>
    </row>
    <row r="51" customFormat="false" ht="15" hidden="false" customHeight="false" outlineLevel="0" collapsed="false">
      <c r="A51" s="9" t="s">
        <v>198</v>
      </c>
      <c r="B51" s="9" t="s">
        <v>77</v>
      </c>
      <c r="C51" s="9" t="s">
        <v>47</v>
      </c>
      <c r="D51" s="10" t="s">
        <v>41</v>
      </c>
      <c r="E51" s="9" t="s">
        <v>42</v>
      </c>
      <c r="F51" s="9" t="s">
        <v>63</v>
      </c>
      <c r="G51" s="9"/>
      <c r="H51" s="9" t="s">
        <v>78</v>
      </c>
      <c r="I51" s="11" t="n">
        <v>456666</v>
      </c>
      <c r="J51" s="17" t="s">
        <v>59</v>
      </c>
      <c r="K51" s="13"/>
      <c r="L51" s="14" t="s">
        <v>60</v>
      </c>
      <c r="M51" s="14"/>
      <c r="N51" s="14"/>
      <c r="O51" s="14"/>
      <c r="P51" s="15"/>
      <c r="Q51" s="14" t="s">
        <v>49</v>
      </c>
      <c r="R51" s="14" t="s">
        <v>65</v>
      </c>
      <c r="S51" s="14" t="s">
        <v>51</v>
      </c>
      <c r="T51" s="15"/>
    </row>
    <row r="52" customFormat="false" ht="15" hidden="false" customHeight="false" outlineLevel="0" collapsed="false">
      <c r="A52" s="9" t="s">
        <v>199</v>
      </c>
      <c r="B52" s="9" t="s">
        <v>116</v>
      </c>
      <c r="C52" s="9" t="s">
        <v>47</v>
      </c>
      <c r="D52" s="16" t="s">
        <v>56</v>
      </c>
      <c r="E52" s="9" t="s">
        <v>57</v>
      </c>
      <c r="F52" s="9" t="s">
        <v>43</v>
      </c>
      <c r="G52" s="9" t="n">
        <v>4</v>
      </c>
      <c r="H52" s="9" t="s">
        <v>199</v>
      </c>
      <c r="I52" s="11" t="n">
        <v>291750</v>
      </c>
      <c r="J52" s="17" t="s">
        <v>59</v>
      </c>
      <c r="K52" s="13"/>
      <c r="L52" s="14" t="s">
        <v>60</v>
      </c>
      <c r="M52" s="14"/>
      <c r="N52" s="14"/>
      <c r="O52" s="14"/>
      <c r="P52" s="15"/>
      <c r="Q52" s="14" t="s">
        <v>45</v>
      </c>
      <c r="R52" s="14"/>
      <c r="S52" s="14"/>
      <c r="T52" s="15"/>
    </row>
    <row r="53" customFormat="false" ht="15" hidden="false" customHeight="false" outlineLevel="0" collapsed="false">
      <c r="A53" s="9" t="s">
        <v>200</v>
      </c>
      <c r="B53" s="9" t="s">
        <v>201</v>
      </c>
      <c r="C53" s="9" t="s">
        <v>47</v>
      </c>
      <c r="D53" s="16" t="s">
        <v>56</v>
      </c>
      <c r="E53" s="9" t="s">
        <v>57</v>
      </c>
      <c r="F53" s="9"/>
      <c r="G53" s="9" t="n">
        <v>1</v>
      </c>
      <c r="H53" s="9" t="s">
        <v>200</v>
      </c>
      <c r="I53" s="11" t="n">
        <v>21079</v>
      </c>
      <c r="J53" s="17" t="s">
        <v>59</v>
      </c>
      <c r="K53" s="13"/>
      <c r="L53" s="14" t="s">
        <v>60</v>
      </c>
      <c r="M53" s="14"/>
      <c r="N53" s="14"/>
      <c r="O53" s="14" t="s">
        <v>46</v>
      </c>
      <c r="P53" s="15"/>
      <c r="Q53" s="14" t="s">
        <v>69</v>
      </c>
      <c r="R53" s="14"/>
      <c r="S53" s="14"/>
      <c r="T53" s="15"/>
    </row>
    <row r="54" customFormat="false" ht="15" hidden="false" customHeight="false" outlineLevel="0" collapsed="false">
      <c r="A54" s="9" t="s">
        <v>202</v>
      </c>
      <c r="B54" s="9" t="s">
        <v>203</v>
      </c>
      <c r="C54" s="9" t="s">
        <v>47</v>
      </c>
      <c r="D54" s="10" t="s">
        <v>41</v>
      </c>
      <c r="E54" s="9" t="s">
        <v>42</v>
      </c>
      <c r="F54" s="9" t="s">
        <v>63</v>
      </c>
      <c r="G54" s="9"/>
      <c r="H54" s="9" t="s">
        <v>204</v>
      </c>
      <c r="I54" s="11" t="n">
        <v>11499</v>
      </c>
      <c r="J54" s="17" t="s">
        <v>59</v>
      </c>
      <c r="K54" s="13"/>
      <c r="L54" s="14" t="s">
        <v>45</v>
      </c>
      <c r="M54" s="14"/>
      <c r="N54" s="14"/>
      <c r="O54" s="14"/>
      <c r="P54" s="15"/>
      <c r="Q54" s="14" t="s">
        <v>45</v>
      </c>
      <c r="R54" s="14"/>
      <c r="S54" s="14"/>
      <c r="T54" s="15"/>
    </row>
    <row r="55" customFormat="false" ht="15" hidden="false" customHeight="false" outlineLevel="0" collapsed="false">
      <c r="A55" s="9" t="s">
        <v>205</v>
      </c>
      <c r="B55" s="9" t="s">
        <v>206</v>
      </c>
      <c r="C55" s="9" t="s">
        <v>47</v>
      </c>
      <c r="D55" s="10" t="s">
        <v>41</v>
      </c>
      <c r="E55" s="9" t="s">
        <v>42</v>
      </c>
      <c r="F55" s="9" t="s">
        <v>63</v>
      </c>
      <c r="G55" s="9"/>
      <c r="H55" s="9" t="s">
        <v>207</v>
      </c>
      <c r="I55" s="11" t="n">
        <v>599172</v>
      </c>
      <c r="J55" s="17" t="s">
        <v>59</v>
      </c>
      <c r="K55" s="13"/>
      <c r="L55" s="14" t="s">
        <v>45</v>
      </c>
      <c r="M55" s="14"/>
      <c r="N55" s="14"/>
      <c r="O55" s="14"/>
      <c r="P55" s="15"/>
      <c r="Q55" s="14" t="s">
        <v>45</v>
      </c>
      <c r="R55" s="14" t="s">
        <v>65</v>
      </c>
      <c r="S55" s="14" t="s">
        <v>51</v>
      </c>
      <c r="T55" s="15"/>
    </row>
    <row r="56" customFormat="false" ht="15" hidden="false" customHeight="false" outlineLevel="0" collapsed="false">
      <c r="A56" s="9" t="s">
        <v>208</v>
      </c>
      <c r="B56" s="9" t="s">
        <v>208</v>
      </c>
      <c r="C56" s="9"/>
      <c r="D56" s="19" t="s">
        <v>107</v>
      </c>
      <c r="E56" s="9" t="s">
        <v>42</v>
      </c>
      <c r="F56" s="9"/>
      <c r="G56" s="9"/>
      <c r="H56" s="9" t="s">
        <v>209</v>
      </c>
      <c r="I56" s="11" t="n">
        <v>0</v>
      </c>
      <c r="J56" s="17" t="s">
        <v>59</v>
      </c>
      <c r="K56" s="13"/>
      <c r="L56" s="14"/>
      <c r="M56" s="14"/>
      <c r="N56" s="14"/>
      <c r="O56" s="14"/>
      <c r="P56" s="15"/>
      <c r="Q56" s="14"/>
      <c r="R56" s="14"/>
      <c r="S56" s="14"/>
      <c r="T56" s="15"/>
    </row>
    <row r="57" customFormat="false" ht="15" hidden="false" customHeight="false" outlineLevel="0" collapsed="false">
      <c r="A57" s="9" t="s">
        <v>210</v>
      </c>
      <c r="B57" s="9" t="s">
        <v>106</v>
      </c>
      <c r="C57" s="9"/>
      <c r="D57" s="19" t="s">
        <v>107</v>
      </c>
      <c r="E57" s="9" t="s">
        <v>42</v>
      </c>
      <c r="F57" s="9"/>
      <c r="G57" s="9" t="n">
        <v>2</v>
      </c>
      <c r="H57" s="9" t="s">
        <v>211</v>
      </c>
      <c r="I57" s="11" t="n">
        <v>743000</v>
      </c>
      <c r="J57" s="17" t="s">
        <v>59</v>
      </c>
      <c r="K57" s="13"/>
      <c r="L57" s="14"/>
      <c r="M57" s="14"/>
      <c r="N57" s="14"/>
      <c r="O57" s="14"/>
      <c r="P57" s="15"/>
      <c r="Q57" s="14"/>
      <c r="R57" s="14"/>
      <c r="S57" s="14"/>
      <c r="T57" s="15"/>
    </row>
    <row r="58" customFormat="false" ht="15" hidden="false" customHeight="false" outlineLevel="0" collapsed="false">
      <c r="A58" s="9" t="s">
        <v>212</v>
      </c>
      <c r="B58" s="9" t="s">
        <v>213</v>
      </c>
      <c r="C58" s="9" t="s">
        <v>113</v>
      </c>
      <c r="D58" s="10" t="s">
        <v>41</v>
      </c>
      <c r="E58" s="9" t="s">
        <v>42</v>
      </c>
      <c r="F58" s="9" t="s">
        <v>43</v>
      </c>
      <c r="G58" s="9" t="n">
        <v>3</v>
      </c>
      <c r="H58" s="9" t="s">
        <v>212</v>
      </c>
      <c r="I58" s="11" t="n">
        <v>210692</v>
      </c>
      <c r="J58" s="17" t="s">
        <v>59</v>
      </c>
      <c r="K58" s="13"/>
      <c r="L58" s="14" t="s">
        <v>60</v>
      </c>
      <c r="M58" s="14"/>
      <c r="N58" s="14"/>
      <c r="O58" s="14"/>
      <c r="P58" s="15"/>
      <c r="Q58" s="14" t="s">
        <v>49</v>
      </c>
      <c r="R58" s="14" t="s">
        <v>65</v>
      </c>
      <c r="S58" s="14" t="s">
        <v>51</v>
      </c>
      <c r="T58" s="15"/>
    </row>
    <row r="59" customFormat="false" ht="15" hidden="false" customHeight="false" outlineLevel="0" collapsed="false">
      <c r="A59" s="9" t="s">
        <v>214</v>
      </c>
      <c r="B59" s="9" t="s">
        <v>215</v>
      </c>
      <c r="C59" s="9" t="s">
        <v>47</v>
      </c>
      <c r="D59" s="16" t="s">
        <v>56</v>
      </c>
      <c r="E59" s="9" t="s">
        <v>57</v>
      </c>
      <c r="F59" s="9" t="s">
        <v>193</v>
      </c>
      <c r="G59" s="9" t="n">
        <v>2</v>
      </c>
      <c r="H59" s="9" t="s">
        <v>214</v>
      </c>
      <c r="I59" s="11" t="n">
        <v>121001</v>
      </c>
      <c r="J59" s="17" t="s">
        <v>59</v>
      </c>
      <c r="K59" s="13"/>
      <c r="L59" s="14" t="s">
        <v>60</v>
      </c>
      <c r="M59" s="14"/>
      <c r="N59" s="14"/>
      <c r="O59" s="14"/>
      <c r="P59" s="15"/>
      <c r="Q59" s="14" t="s">
        <v>69</v>
      </c>
      <c r="R59" s="14"/>
      <c r="S59" s="14"/>
      <c r="T59" s="15"/>
    </row>
    <row r="60" customFormat="false" ht="15" hidden="false" customHeight="false" outlineLevel="0" collapsed="false">
      <c r="A60" s="9" t="s">
        <v>216</v>
      </c>
      <c r="B60" s="9" t="s">
        <v>215</v>
      </c>
      <c r="C60" s="9" t="s">
        <v>47</v>
      </c>
      <c r="D60" s="10" t="s">
        <v>41</v>
      </c>
      <c r="E60" s="9" t="s">
        <v>42</v>
      </c>
      <c r="F60" s="9" t="s">
        <v>63</v>
      </c>
      <c r="G60" s="9"/>
      <c r="H60" s="9"/>
      <c r="I60" s="11" t="n">
        <v>100000</v>
      </c>
      <c r="J60" s="12" t="s">
        <v>44</v>
      </c>
      <c r="K60" s="13"/>
      <c r="L60" s="14" t="s">
        <v>60</v>
      </c>
      <c r="M60" s="14"/>
      <c r="N60" s="14"/>
      <c r="O60" s="14"/>
      <c r="P60" s="15"/>
      <c r="Q60" s="14" t="s">
        <v>49</v>
      </c>
      <c r="R60" s="14" t="s">
        <v>65</v>
      </c>
      <c r="S60" s="14" t="s">
        <v>51</v>
      </c>
      <c r="T60" s="15"/>
    </row>
    <row r="61" customFormat="false" ht="15" hidden="false" customHeight="false" outlineLevel="0" collapsed="false">
      <c r="A61" s="9" t="s">
        <v>217</v>
      </c>
      <c r="B61" s="9" t="s">
        <v>218</v>
      </c>
      <c r="C61" s="9" t="s">
        <v>47</v>
      </c>
      <c r="D61" s="10" t="s">
        <v>41</v>
      </c>
      <c r="E61" s="9" t="s">
        <v>42</v>
      </c>
      <c r="F61" s="9" t="s">
        <v>63</v>
      </c>
      <c r="G61" s="9"/>
      <c r="H61" s="9" t="s">
        <v>219</v>
      </c>
      <c r="I61" s="11" t="n">
        <v>168005</v>
      </c>
      <c r="J61" s="17" t="s">
        <v>59</v>
      </c>
      <c r="K61" s="13"/>
      <c r="L61" s="14" t="s">
        <v>45</v>
      </c>
      <c r="M61" s="14"/>
      <c r="N61" s="14"/>
      <c r="O61" s="14"/>
      <c r="P61" s="15"/>
      <c r="Q61" s="14" t="s">
        <v>45</v>
      </c>
      <c r="R61" s="14"/>
      <c r="S61" s="14"/>
      <c r="T61" s="15"/>
    </row>
    <row r="62" customFormat="false" ht="15" hidden="false" customHeight="false" outlineLevel="0" collapsed="false">
      <c r="A62" s="9" t="s">
        <v>220</v>
      </c>
      <c r="B62" s="9" t="s">
        <v>221</v>
      </c>
      <c r="C62" s="9" t="s">
        <v>47</v>
      </c>
      <c r="D62" s="10" t="s">
        <v>41</v>
      </c>
      <c r="E62" s="9" t="s">
        <v>42</v>
      </c>
      <c r="F62" s="9" t="s">
        <v>63</v>
      </c>
      <c r="G62" s="9"/>
      <c r="H62" s="9" t="s">
        <v>220</v>
      </c>
      <c r="I62" s="11" t="n">
        <v>55000</v>
      </c>
      <c r="J62" s="17" t="s">
        <v>59</v>
      </c>
      <c r="K62" s="13"/>
      <c r="L62" s="14" t="s">
        <v>45</v>
      </c>
      <c r="M62" s="14"/>
      <c r="N62" s="14"/>
      <c r="O62" s="14"/>
      <c r="P62" s="15"/>
      <c r="Q62" s="14" t="s">
        <v>45</v>
      </c>
      <c r="R62" s="14"/>
      <c r="S62" s="14"/>
      <c r="T62" s="15"/>
    </row>
    <row r="63" customFormat="false" ht="15" hidden="false" customHeight="false" outlineLevel="0" collapsed="false">
      <c r="A63" s="9" t="s">
        <v>222</v>
      </c>
      <c r="B63" s="9" t="s">
        <v>221</v>
      </c>
      <c r="C63" s="9"/>
      <c r="D63" s="19" t="s">
        <v>107</v>
      </c>
      <c r="E63" s="9" t="s">
        <v>42</v>
      </c>
      <c r="F63" s="9"/>
      <c r="G63" s="9"/>
      <c r="H63" s="9"/>
      <c r="I63" s="11" t="n">
        <v>0</v>
      </c>
      <c r="J63" s="12" t="s">
        <v>44</v>
      </c>
      <c r="K63" s="13"/>
      <c r="L63" s="14"/>
      <c r="M63" s="14"/>
      <c r="N63" s="14"/>
      <c r="O63" s="14"/>
      <c r="P63" s="15"/>
      <c r="Q63" s="14"/>
      <c r="R63" s="14"/>
      <c r="S63" s="14"/>
      <c r="T63" s="15"/>
    </row>
    <row r="64" customFormat="false" ht="15" hidden="false" customHeight="false" outlineLevel="0" collapsed="false">
      <c r="A64" s="9" t="s">
        <v>223</v>
      </c>
      <c r="B64" s="9" t="s">
        <v>224</v>
      </c>
      <c r="C64" s="9" t="s">
        <v>47</v>
      </c>
      <c r="D64" s="10" t="s">
        <v>41</v>
      </c>
      <c r="E64" s="9" t="s">
        <v>42</v>
      </c>
      <c r="F64" s="9" t="s">
        <v>63</v>
      </c>
      <c r="G64" s="9" t="n">
        <v>1</v>
      </c>
      <c r="H64" s="9" t="s">
        <v>223</v>
      </c>
      <c r="I64" s="11" t="n">
        <v>390000</v>
      </c>
      <c r="J64" s="17" t="s">
        <v>59</v>
      </c>
      <c r="K64" s="13"/>
      <c r="L64" s="14" t="s">
        <v>45</v>
      </c>
      <c r="M64" s="14"/>
      <c r="N64" s="14"/>
      <c r="O64" s="14" t="s">
        <v>46</v>
      </c>
      <c r="P64" s="15"/>
      <c r="Q64" s="14" t="s">
        <v>45</v>
      </c>
      <c r="R64" s="14"/>
      <c r="S64" s="14"/>
      <c r="T64" s="15"/>
    </row>
    <row r="65" customFormat="false" ht="15" hidden="false" customHeight="false" outlineLevel="0" collapsed="false">
      <c r="A65" s="9" t="s">
        <v>225</v>
      </c>
      <c r="B65" s="9" t="s">
        <v>226</v>
      </c>
      <c r="C65" s="9" t="s">
        <v>47</v>
      </c>
      <c r="D65" s="10" t="s">
        <v>41</v>
      </c>
      <c r="E65" s="9" t="s">
        <v>42</v>
      </c>
      <c r="F65" s="9" t="s">
        <v>63</v>
      </c>
      <c r="G65" s="9"/>
      <c r="H65" s="9" t="s">
        <v>225</v>
      </c>
      <c r="I65" s="11" t="n">
        <v>10000</v>
      </c>
      <c r="J65" s="17" t="s">
        <v>59</v>
      </c>
      <c r="K65" s="13"/>
      <c r="L65" s="14" t="s">
        <v>45</v>
      </c>
      <c r="M65" s="14"/>
      <c r="N65" s="14"/>
      <c r="O65" s="14"/>
      <c r="P65" s="15"/>
      <c r="Q65" s="14" t="s">
        <v>45</v>
      </c>
      <c r="R65" s="14"/>
      <c r="S65" s="14"/>
      <c r="T65" s="15"/>
    </row>
  </sheetData>
  <autoFilter ref="A1:T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2026-08-20T18:39:22Z</dcterms:created>
  <dc:creator>openpyxl</dc:creator>
  <dc:description/>
  <dc:language>en-US</dc:language>
  <cp:lastModifiedBy/>
  <dcterms:modified xsi:type="dcterms:W3CDTF">2026-08-20T18:39:22Z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